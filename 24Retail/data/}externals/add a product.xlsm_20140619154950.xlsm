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M\releases\11\24Retail\24Retail\Data\}Externals\"/>
    </mc:Choice>
  </mc:AlternateContent>
  <bookViews>
    <workbookView xWindow="360" yWindow="375" windowWidth="8910" windowHeight="2040"/>
  </bookViews>
  <sheets>
    <sheet name="ProductAdmin" sheetId="11" r:id="rId1"/>
    <sheet name="Lookup" sheetId="2" state="hidden" r:id="rId2"/>
  </sheets>
  <definedNames>
    <definedName name="Method">Lookup!$G$2:$G$3</definedName>
    <definedName name="pChannel" localSheetId="0">ProductAdmin!$F$5</definedName>
    <definedName name="pCurrentProduct" localSheetId="0">ProductAdmin!$B$19</definedName>
    <definedName name="pFcstMethod" localSheetId="0">ProductAdmin!#REF!</definedName>
    <definedName name="pNewName" localSheetId="0">ProductAdmin!$F$10</definedName>
    <definedName name="pNewNumber" localSheetId="0">ProductAdmin!$F$9</definedName>
    <definedName name="pOrg" localSheetId="0">ProductAdmin!$B$5</definedName>
    <definedName name="pParent" localSheetId="0">ProductAdmin!$F$8</definedName>
    <definedName name="pProductDriver" localSheetId="0">ProductAdmin!$O$10</definedName>
    <definedName name="ProductGroups">Lookup!$I$2:$I$11</definedName>
    <definedName name="ProductSubsets">Lookup!$A$2:$A$6</definedName>
    <definedName name="pSpread" localSheetId="0">ProductAdmin!$O$12</definedName>
    <definedName name="pUnitFcst" localSheetId="0">ProductAdmin!$O$8</definedName>
    <definedName name="pVersion" localSheetId="0">ProductAdmin!$N$5</definedName>
    <definedName name="pYear" localSheetId="0">ProductAdmin!$I$5</definedName>
    <definedName name="SelectYesNo">Lookup!$D$2:$D$3</definedName>
    <definedName name="Spreads">Lookup!$M$2:$M$23</definedName>
    <definedName name="TM1REBUILDOPTION">1</definedName>
  </definedNames>
  <calcPr calcId="152511" concurrentCalc="0"/>
</workbook>
</file>

<file path=xl/calcChain.xml><?xml version="1.0" encoding="utf-8"?>
<calcChain xmlns="http://schemas.openxmlformats.org/spreadsheetml/2006/main">
  <c r="M23" i="2" l="1"/>
  <c r="M22" i="2"/>
  <c r="M21" i="2"/>
  <c r="M20" i="2"/>
  <c r="M19" i="2"/>
  <c r="M18" i="2"/>
  <c r="I18" i="2"/>
  <c r="M17" i="2"/>
  <c r="M16" i="2"/>
  <c r="M15" i="2"/>
  <c r="M14" i="2"/>
  <c r="M13" i="2"/>
  <c r="M12" i="2"/>
  <c r="M11" i="2"/>
  <c r="I11" i="2"/>
  <c r="M10" i="2"/>
  <c r="I10" i="2"/>
  <c r="M9" i="2"/>
  <c r="I9" i="2"/>
  <c r="M8" i="2"/>
  <c r="I8" i="2"/>
  <c r="M7" i="2"/>
  <c r="I7" i="2"/>
  <c r="M6" i="2"/>
  <c r="I6" i="2"/>
  <c r="M5" i="2"/>
  <c r="I5" i="2"/>
  <c r="M4" i="2"/>
  <c r="I4" i="2"/>
  <c r="M3" i="2"/>
  <c r="I3" i="2"/>
  <c r="M2" i="2"/>
  <c r="I2" i="2"/>
  <c r="B19" i="11"/>
  <c r="B18" i="11"/>
  <c r="B17" i="11"/>
  <c r="O12" i="11"/>
  <c r="O10" i="11"/>
  <c r="F8" i="11"/>
  <c r="F9" i="11"/>
  <c r="N5" i="11"/>
  <c r="I5" i="11"/>
  <c r="F5" i="11"/>
  <c r="B5" i="11"/>
  <c r="D1" i="11"/>
  <c r="M18" i="11"/>
  <c r="K19" i="11"/>
  <c r="I19" i="11"/>
  <c r="P18" i="11"/>
  <c r="F18" i="11"/>
  <c r="E18" i="11"/>
  <c r="P19" i="11"/>
  <c r="F19" i="11"/>
  <c r="Q18" i="11"/>
  <c r="G18" i="11"/>
  <c r="O19" i="11"/>
  <c r="E19" i="11"/>
  <c r="K18" i="11"/>
  <c r="R19" i="11"/>
  <c r="N19" i="11"/>
  <c r="H19" i="11"/>
  <c r="S18" i="11"/>
  <c r="O18" i="11"/>
  <c r="I18" i="11"/>
  <c r="S19" i="11"/>
  <c r="Q19" i="11"/>
  <c r="M19" i="11"/>
  <c r="G19" i="11"/>
  <c r="R18" i="11"/>
  <c r="N18" i="11"/>
  <c r="H18" i="11"/>
</calcChain>
</file>

<file path=xl/sharedStrings.xml><?xml version="1.0" encoding="utf-8"?>
<sst xmlns="http://schemas.openxmlformats.org/spreadsheetml/2006/main" count="39" uniqueCount="38">
  <si>
    <t>Channel</t>
  </si>
  <si>
    <t>Year</t>
  </si>
  <si>
    <t>Version</t>
  </si>
  <si>
    <t>Organization</t>
  </si>
  <si>
    <t>Yes</t>
  </si>
  <si>
    <t>ProductSubsets</t>
  </si>
  <si>
    <t>Default</t>
  </si>
  <si>
    <t>Product All</t>
  </si>
  <si>
    <t>Clinical System Analyzers</t>
  </si>
  <si>
    <t>System Accessories</t>
  </si>
  <si>
    <t>System Analysis Packs</t>
  </si>
  <si>
    <t>SelectYesNo</t>
  </si>
  <si>
    <t>No</t>
  </si>
  <si>
    <t>CUBE: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</si>
  <si>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</si>
  <si>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</si>
  <si>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</si>
  <si>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</si>
  <si>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</si>
  <si>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</si>
  <si>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</si>
  <si>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</si>
  <si>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</si>
  <si>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</si>
  <si>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</si>
  <si>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</si>
  <si>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New Product Parent</t>
  </si>
  <si>
    <t>New Product Number</t>
  </si>
  <si>
    <t>New Product Name</t>
  </si>
  <si>
    <t>Product Driver (Compare)</t>
  </si>
  <si>
    <t>Spread Driver</t>
  </si>
  <si>
    <t>Generic Spread</t>
  </si>
  <si>
    <t>Method</t>
  </si>
  <si>
    <t>ProductGroups</t>
  </si>
  <si>
    <t>Spreads</t>
  </si>
  <si>
    <t>Specific Product</t>
  </si>
  <si>
    <t>Unit Forecast</t>
  </si>
  <si>
    <t>New Product 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</si>
</sst>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 &quot;??_);_(@_)"/>
    <numFmt numFmtId="165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8"/>
      <color indexed="8"/>
      <name val="Calibri"/>
      <family val="2"/>
    </font>
    <font>
      <sz val="14"/>
      <color indexed="63"/>
      <name val="Calibri"/>
      <family val="2"/>
    </font>
    <font>
      <sz val="8"/>
      <name val="Calibri"/>
      <family val="2"/>
    </font>
    <font>
      <b/>
      <sz val="9"/>
      <name val="Calibri"/>
      <family val="2"/>
    </font>
    <font>
      <b/>
      <sz val="10"/>
      <name val="Calibri"/>
      <family val="2"/>
    </font>
    <font>
      <b/>
      <sz val="14"/>
      <color indexed="63"/>
      <name val="Calibri"/>
      <family val="2"/>
    </font>
    <font>
      <b/>
      <sz val="8"/>
      <name val="Calibri"/>
      <family val="2"/>
    </font>
    <font>
      <sz val="11"/>
      <color indexed="63"/>
      <name val="Calibri"/>
      <family val="2"/>
    </font>
    <font>
      <b/>
      <sz val="8"/>
      <color indexed="8"/>
      <name val="Calibri"/>
      <family val="2"/>
    </font>
    <font>
      <sz val="9"/>
      <color indexed="8"/>
      <name val="Calibri"/>
      <family val="2"/>
    </font>
    <font>
      <b/>
      <sz val="12"/>
      <color indexed="6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Border="1"/>
    <xf numFmtId="0" fontId="3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9" fontId="9" fillId="2" borderId="0" xfId="0" applyNumberFormat="1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49" fontId="1" fillId="0" borderId="0" xfId="0" applyNumberFormat="1" applyFont="1" applyFill="1" applyBorder="1" applyAlignment="1">
      <alignment horizontal="left" vertical="center"/>
    </xf>
    <xf numFmtId="3" fontId="4" fillId="0" borderId="0" xfId="0" applyNumberFormat="1" applyFont="1" applyFill="1" applyBorder="1" applyAlignment="1">
      <alignment vertical="center"/>
    </xf>
    <xf numFmtId="3" fontId="4" fillId="0" borderId="0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12" fillId="2" borderId="1" xfId="0" applyFont="1" applyFill="1" applyBorder="1"/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49" fontId="9" fillId="2" borderId="6" xfId="0" applyNumberFormat="1" applyFont="1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7" xfId="0" applyFill="1" applyBorder="1"/>
    <xf numFmtId="49" fontId="9" fillId="2" borderId="8" xfId="0" applyNumberFormat="1" applyFont="1" applyFill="1" applyBorder="1" applyAlignment="1">
      <alignment vertical="center"/>
    </xf>
    <xf numFmtId="49" fontId="9" fillId="2" borderId="9" xfId="0" applyNumberFormat="1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8" xfId="0" applyFill="1" applyBorder="1"/>
    <xf numFmtId="0" fontId="0" fillId="2" borderId="9" xfId="0" applyFill="1" applyBorder="1"/>
    <xf numFmtId="49" fontId="9" fillId="2" borderId="5" xfId="0" applyNumberFormat="1" applyFont="1" applyFill="1" applyBorder="1" applyAlignment="1">
      <alignment vertical="center"/>
    </xf>
    <xf numFmtId="49" fontId="9" fillId="2" borderId="7" xfId="0" applyNumberFormat="1" applyFont="1" applyFill="1" applyBorder="1" applyAlignment="1">
      <alignment vertical="center"/>
    </xf>
    <xf numFmtId="49" fontId="11" fillId="2" borderId="10" xfId="0" applyNumberFormat="1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vertical="center"/>
    </xf>
    <xf numFmtId="165" fontId="5" fillId="0" borderId="10" xfId="1" applyNumberFormat="1" applyFont="1" applyBorder="1" applyAlignment="1">
      <alignment horizontal="right" vertical="center"/>
    </xf>
    <xf numFmtId="0" fontId="4" fillId="2" borderId="0" xfId="0" applyFont="1" applyFill="1" applyBorder="1" applyAlignment="1">
      <alignment horizontal="left" vertical="center" indent="1"/>
    </xf>
    <xf numFmtId="49" fontId="11" fillId="3" borderId="11" xfId="0" applyNumberFormat="1" applyFont="1" applyFill="1" applyBorder="1" applyAlignment="1">
      <alignment horizontal="left" vertical="center" indent="1"/>
    </xf>
    <xf numFmtId="49" fontId="11" fillId="3" borderId="12" xfId="0" applyNumberFormat="1" applyFont="1" applyFill="1" applyBorder="1" applyAlignment="1">
      <alignment horizontal="left" vertical="center" indent="1"/>
    </xf>
    <xf numFmtId="49" fontId="11" fillId="3" borderId="13" xfId="0" applyNumberFormat="1" applyFont="1" applyFill="1" applyBorder="1" applyAlignment="1">
      <alignment horizontal="left" vertical="center" indent="1"/>
    </xf>
    <xf numFmtId="49" fontId="11" fillId="3" borderId="11" xfId="0" applyNumberFormat="1" applyFont="1" applyFill="1" applyBorder="1" applyAlignment="1">
      <alignment horizontal="left" vertical="center" indent="1"/>
    </xf>
    <xf numFmtId="49" fontId="11" fillId="3" borderId="12" xfId="0" applyNumberFormat="1" applyFont="1" applyFill="1" applyBorder="1" applyAlignment="1">
      <alignment horizontal="left" vertical="center" indent="1"/>
    </xf>
    <xf numFmtId="49" fontId="11" fillId="3" borderId="13" xfId="0" applyNumberFormat="1" applyFont="1" applyFill="1" applyBorder="1" applyAlignment="1">
      <alignment horizontal="left" vertical="center" indent="1"/>
    </xf>
    <xf numFmtId="49" fontId="7" fillId="2" borderId="10" xfId="0" applyNumberFormat="1" applyFont="1" applyFill="1" applyBorder="1" applyAlignment="1">
      <alignment horizontal="left" vertical="center"/>
    </xf>
    <xf numFmtId="49" fontId="11" fillId="3" borderId="10" xfId="0" applyNumberFormat="1" applyFont="1" applyFill="1" applyBorder="1" applyAlignment="1">
      <alignment horizontal="left" vertical="center" indent="1"/>
    </xf>
    <xf numFmtId="3" fontId="5" fillId="0" borderId="10" xfId="0" applyNumberFormat="1" applyFont="1" applyFill="1" applyBorder="1" applyAlignment="1">
      <alignment horizontal="center" vertical="center"/>
    </xf>
    <xf numFmtId="49" fontId="11" fillId="2" borderId="10" xfId="0" applyNumberFormat="1" applyFont="1" applyFill="1" applyBorder="1" applyAlignment="1">
      <alignment horizontal="center" vertical="center"/>
    </xf>
    <xf numFmtId="165" fontId="5" fillId="0" borderId="10" xfId="1" applyNumberFormat="1" applyFont="1" applyBorder="1" applyAlignment="1">
      <alignment horizontal="right" vertical="center"/>
    </xf>
    <xf numFmtId="0" fontId="13" fillId="2" borderId="10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64" fontId="11" fillId="3" borderId="11" xfId="1" applyNumberFormat="1" applyFont="1" applyFill="1" applyBorder="1" applyAlignment="1">
      <alignment horizontal="center"/>
    </xf>
    <xf numFmtId="164" fontId="11" fillId="3" borderId="12" xfId="1" applyNumberFormat="1" applyFont="1" applyFill="1" applyBorder="1" applyAlignment="1">
      <alignment horizontal="center"/>
    </xf>
    <xf numFmtId="164" fontId="11" fillId="3" borderId="13" xfId="1" applyNumberFormat="1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 vertical="center"/>
    </xf>
    <xf numFmtId="49" fontId="8" fillId="2" borderId="10" xfId="0" applyNumberFormat="1" applyFont="1" applyFill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A589C"/>
      <rgbColor rgb="00888FAC"/>
      <rgbColor rgb="000000FF"/>
      <rgbColor rgb="00830E17"/>
      <rgbColor rgb="00CDB79E"/>
      <rgbColor rgb="0095B3D7"/>
      <rgbColor rgb="00800000"/>
      <rgbColor rgb="000F3F6A"/>
      <rgbColor rgb="00000080"/>
      <rgbColor rgb="00808000"/>
      <rgbColor rgb="00800080"/>
      <rgbColor rgb="00DBE5F1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8F8F8"/>
      <rgbColor rgb="00B7D2EC"/>
      <rgbColor rgb="00E7E5E5"/>
      <rgbColor rgb="003366FF"/>
      <rgbColor rgb="00B8CCE4"/>
      <rgbColor rgb="00E5E5E5"/>
      <rgbColor rgb="00B6DDF1"/>
      <rgbColor rgb="0099AACC"/>
      <rgbColor rgb="00E56565"/>
      <rgbColor rgb="00666699"/>
      <rgbColor rgb="00969696"/>
      <rgbColor rgb="0039CF08"/>
      <rgbColor rgb="00FFFAFA"/>
      <rgbColor rgb="00D6595A"/>
      <rgbColor rgb="00DAD8D8"/>
      <rgbColor rgb="00993300"/>
      <rgbColor rgb="00DFEEF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0"/>
  <ax:ocxPr ax:name="_ExtentX" ax:value="5530"/>
  <ax:ocxPr ax:name="_ExtentY" ax:value="1561"/>
  <ax:ocxPr ax:name="_StockProps" ax:value="0"/>
  <ax:ocxPr ax:name="ServerName" ax:value="24retail"/>
  <ax:ocxPr ax:name="ProcessName" ax:value="load_jc_asmpt"/>
  <ax:ocxPr ax:name="Name" ax:value="pVersion"/>
  <ax:ocxPr ax:name="Type" ax:value="0"/>
  <ax:ocxPr ax:name="Value" ax:value="0"/>
  <ax:ocxPr ax:name="Prompt" ax:value=""/>
  <ax:ocxPr ax:name="BackColor" ax:value="15520439"/>
  <ax:ocxPr ax:name="ForeColor" ax:value="0"/>
  <ax:ocxPr ax:name="Font">
    <ax:font ax:persistence="persistPropertyBag">
      <ax:ocxPr ax:name="Name" ax:value="Calibri"/>
      <ax:ocxPr ax:name="Size" ax:value="9.7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fresh"/>
  <ax:ocxPr ax:name="UseFormula" ax:value="0"/>
  <ax:ocxPr ax:name="ProcessNameFormula" ax:value=""/>
  <ax:ocxPr ax:name="ProcessParamFormula" ax:value=""/>
  <ax:ocxPr ax:name="ProcessImage">
    <ax:picture r:id="rId1"/>
  </ax:ocxPr>
  <ax:ocxPr ax:name="UseImage" ax:value="0"/>
  <ax:ocxPr ax:name="ImageName" ax:value="button2.bmp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Input\Contributor"/>
  <ax:ocxPr ax:name="TargetWorksheetName" ax:value="AllocationRates"/>
  <ax:ocxPr ax:name="AutoTitles" ax:value="-1"/>
  <ax:ocxPr ax:name="ReplaceWindow" ax:value="0"/>
  <ax:ocxPr ax:name="IsMappingFormula" ax:value="0"/>
  <ax:ocxPr ax:name="TargetTypes" ax:value="0"/>
  <ax:ocxPr ax:name="TargetObjects" ax:value="Employee"/>
  <ax:ocxPr ax:name="TargetSubsets" ax:value=""/>
  <ax:ocxPr ax:name="TargetAliases" ax:value=""/>
  <ax:ocxPr ax:name="TargetValues" ax:value=""/>
  <ax:ocxPr ax:name="SourceTypes" ax:value="1"/>
  <ax:ocxPr ax:name="SourceObjects" ax:value="Employee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5"/>
  <ax:ocxPr ax:name="PreRecalc" ax:value="2"/>
  <ax:ocxPr ax:name="WorkSheetRecalc" ax:value="2"/>
  <ax:ocxPr ax:name="ProcessRecalc" ax:value="1"/>
  <ax:ocxPr ax:name="DoReCalcOnly" ax:value="-1"/>
  <ax:ocxPr ax:name="UseReferenceForServerName" ax:value="0"/>
  <ax:ocxPr ax:name="ResizeButtonToCaption" ax:value="0"/>
</ax:ocx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ProductAdmin!$B$18</c:f>
              <c:strCache>
                <c:ptCount val="1"/>
              </c:strCache>
            </c:strRef>
          </c:tx>
          <c:invertIfNegative val="0"/>
          <c:cat>
            <c:strRef>
              <c:f>ProductAdmin!$E$17:$R$17</c:f>
              <c:strCache>
                <c:ptCount val="1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6">
                  <c:v>Jun</c:v>
                </c:pt>
                <c:pt idx="8">
                  <c:v>Jul</c:v>
                </c:pt>
                <c:pt idx="9">
                  <c:v>Aug</c:v>
                </c:pt>
                <c:pt idx="10">
                  <c:v>Sep</c:v>
                </c:pt>
                <c:pt idx="11">
                  <c:v>Oct</c:v>
                </c:pt>
                <c:pt idx="12">
                  <c:v>Nov</c:v>
                </c:pt>
                <c:pt idx="13">
                  <c:v>Dec</c:v>
                </c:pt>
              </c:strCache>
            </c:strRef>
          </c:cat>
          <c:val>
            <c:numRef>
              <c:f>ProductAdmin!$E$18:$R$18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ProductAdmin!$B$19</c:f>
              <c:strCache>
                <c:ptCount val="1"/>
              </c:strCache>
            </c:strRef>
          </c:tx>
          <c:invertIfNegative val="0"/>
          <c:cat>
            <c:strRef>
              <c:f>ProductAdmin!$E$17:$R$17</c:f>
              <c:strCache>
                <c:ptCount val="1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6">
                  <c:v>Jun</c:v>
                </c:pt>
                <c:pt idx="8">
                  <c:v>Jul</c:v>
                </c:pt>
                <c:pt idx="9">
                  <c:v>Aug</c:v>
                </c:pt>
                <c:pt idx="10">
                  <c:v>Sep</c:v>
                </c:pt>
                <c:pt idx="11">
                  <c:v>Oct</c:v>
                </c:pt>
                <c:pt idx="12">
                  <c:v>Nov</c:v>
                </c:pt>
                <c:pt idx="13">
                  <c:v>Dec</c:v>
                </c:pt>
              </c:strCache>
            </c:strRef>
          </c:cat>
          <c:val>
            <c:numRef>
              <c:f>ProductAdmin!$E$19:$R$19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287072"/>
        <c:axId val="244295696"/>
      </c:barChart>
      <c:catAx>
        <c:axId val="244287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4295696"/>
        <c:crosses val="autoZero"/>
        <c:auto val="1"/>
        <c:lblAlgn val="ctr"/>
        <c:lblOffset val="100"/>
        <c:noMultiLvlLbl val="0"/>
      </c:catAx>
      <c:valAx>
        <c:axId val="24429569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44287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11</xdr:row>
          <xdr:rowOff>19050</xdr:rowOff>
        </xdr:from>
        <xdr:to>
          <xdr:col>8</xdr:col>
          <xdr:colOff>0</xdr:colOff>
          <xdr:row>15</xdr:row>
          <xdr:rowOff>57150</xdr:rowOff>
        </xdr:to>
        <xdr:sp macro="" textlink="">
          <xdr:nvSpPr>
            <xdr:cNvPr id="46083" name="TI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8</xdr:row>
          <xdr:rowOff>76200</xdr:rowOff>
        </xdr:from>
        <xdr:to>
          <xdr:col>20</xdr:col>
          <xdr:colOff>38100</xdr:colOff>
          <xdr:row>11</xdr:row>
          <xdr:rowOff>38100</xdr:rowOff>
        </xdr:to>
        <xdr:sp macro="" textlink="">
          <xdr:nvSpPr>
            <xdr:cNvPr id="46084" name="TIButton1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1</xdr:row>
          <xdr:rowOff>85725</xdr:rowOff>
        </xdr:from>
        <xdr:to>
          <xdr:col>16</xdr:col>
          <xdr:colOff>28575</xdr:colOff>
          <xdr:row>2</xdr:row>
          <xdr:rowOff>28575</xdr:rowOff>
        </xdr:to>
        <xdr:sp macro="" textlink="">
          <xdr:nvSpPr>
            <xdr:cNvPr id="46085" name="TIButton2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5E5E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11</xdr:row>
          <xdr:rowOff>9525</xdr:rowOff>
        </xdr:from>
        <xdr:to>
          <xdr:col>20</xdr:col>
          <xdr:colOff>38100</xdr:colOff>
          <xdr:row>15</xdr:row>
          <xdr:rowOff>47625</xdr:rowOff>
        </xdr:to>
        <xdr:sp macro="" textlink="">
          <xdr:nvSpPr>
            <xdr:cNvPr id="46086" name="TIButton4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</xdr:col>
      <xdr:colOff>19050</xdr:colOff>
      <xdr:row>19</xdr:row>
      <xdr:rowOff>123824</xdr:rowOff>
    </xdr:from>
    <xdr:to>
      <xdr:col>20</xdr:col>
      <xdr:colOff>38099</xdr:colOff>
      <xdr:row>33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"/>
  <sheetViews>
    <sheetView showGridLines="0" tabSelected="1" topLeftCell="A2" workbookViewId="0">
      <selection activeCell="Y19" sqref="Y19"/>
    </sheetView>
  </sheetViews>
  <sheetFormatPr defaultRowHeight="15" x14ac:dyDescent="0.25"/>
  <cols>
    <col min="1" max="1" width="1.28515625" customWidth="1"/>
    <col min="2" max="2" width="0.85546875" customWidth="1"/>
    <col min="3" max="4" width="10.7109375" customWidth="1"/>
    <col min="5" max="8" width="8.7109375" customWidth="1"/>
    <col min="9" max="9" width="1.140625" customWidth="1"/>
    <col min="10" max="10" width="7.85546875" customWidth="1"/>
    <col min="11" max="11" width="0.85546875" customWidth="1"/>
    <col min="12" max="18" width="8.7109375" customWidth="1"/>
    <col min="19" max="19" width="8" customWidth="1"/>
    <col min="20" max="20" width="1.140625" customWidth="1"/>
  </cols>
  <sheetData>
    <row r="1" spans="1:20" hidden="1" x14ac:dyDescent="0.25">
      <c r="A1" s="1"/>
      <c r="B1" s="1" t="s">
        <v>13</v>
      </c>
      <c r="C1" s="1"/>
      <c r="D1" s="1" t="str">
        <f ca="1">_xll.VIEW("24retail:Revenue",$B$5,$F$5,"!","!",$I$5,$N$5,$B$17)</f>
        <v>24retail:Revenue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7.5" customHeight="1" thickBot="1" x14ac:dyDescent="0.3">
      <c r="A2" s="12"/>
      <c r="B2" s="13"/>
      <c r="C2" s="32" t="s">
        <v>37</v>
      </c>
      <c r="D2" s="12"/>
      <c r="E2" s="12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 ht="7.5" customHeight="1" x14ac:dyDescent="0.25"/>
    <row r="4" spans="1:20" s="3" customFormat="1" ht="15" customHeight="1" x14ac:dyDescent="0.25">
      <c r="B4" s="52" t="s">
        <v>3</v>
      </c>
      <c r="C4" s="52"/>
      <c r="D4" s="52"/>
      <c r="E4" s="52"/>
      <c r="F4" s="52" t="s">
        <v>0</v>
      </c>
      <c r="G4" s="52"/>
      <c r="H4" s="52"/>
      <c r="I4" s="52" t="s">
        <v>1</v>
      </c>
      <c r="J4" s="52"/>
      <c r="K4" s="52"/>
      <c r="L4" s="52"/>
      <c r="M4" s="52"/>
      <c r="N4" s="52" t="s">
        <v>2</v>
      </c>
      <c r="O4" s="52"/>
      <c r="P4" s="52"/>
    </row>
    <row r="5" spans="1:20" s="3" customFormat="1" ht="15" customHeight="1" x14ac:dyDescent="0.25">
      <c r="B5" s="53" t="str">
        <f ca="1">_xll.SUBNM("24retail:organization","Workflow","101","Caption_Default")</f>
        <v/>
      </c>
      <c r="C5" s="53"/>
      <c r="D5" s="53"/>
      <c r="E5" s="53"/>
      <c r="F5" s="53" t="str">
        <f ca="1">_xll.SUBNM("24retail:Channel","Default","Retail","Caption_Default")</f>
        <v/>
      </c>
      <c r="G5" s="53"/>
      <c r="H5" s="53"/>
      <c r="I5" s="53" t="str">
        <f ca="1">_xll.SUBNM("24retail:Year","Default","Y2","Caption_Default")</f>
        <v/>
      </c>
      <c r="J5" s="53"/>
      <c r="K5" s="53"/>
      <c r="L5" s="53"/>
      <c r="M5" s="53"/>
      <c r="N5" s="53" t="str">
        <f ca="1">_xll.SUBNM("24retail:Version","Current",_xll.DBR("24retail:Calendar","Current Version","String"),"Caption_Default")</f>
        <v/>
      </c>
      <c r="O5" s="53"/>
      <c r="P5" s="53"/>
    </row>
    <row r="6" spans="1:20" s="3" customFormat="1" ht="8.25" customHeight="1" x14ac:dyDescent="0.25"/>
    <row r="7" spans="1:20" s="3" customFormat="1" ht="5.25" customHeight="1" x14ac:dyDescent="0.25">
      <c r="B7" s="15"/>
      <c r="C7" s="16"/>
      <c r="D7" s="16"/>
      <c r="E7" s="16"/>
      <c r="F7" s="16"/>
      <c r="G7" s="16"/>
      <c r="H7" s="16"/>
      <c r="I7" s="17"/>
      <c r="K7" s="15"/>
      <c r="L7" s="16"/>
      <c r="M7" s="16"/>
      <c r="N7" s="16"/>
      <c r="O7" s="16"/>
      <c r="P7" s="16"/>
      <c r="Q7" s="16"/>
      <c r="R7" s="16"/>
      <c r="S7" s="16"/>
      <c r="T7" s="17"/>
    </row>
    <row r="8" spans="1:20" s="3" customFormat="1" ht="15" customHeight="1" x14ac:dyDescent="0.25">
      <c r="B8" s="18"/>
      <c r="C8" s="38" t="s">
        <v>26</v>
      </c>
      <c r="D8" s="39"/>
      <c r="E8" s="40"/>
      <c r="F8" s="47" t="str">
        <f ca="1">_xll.SUBNM("24retail:product","Groups","22000","Caption_Default")</f>
        <v/>
      </c>
      <c r="G8" s="47"/>
      <c r="H8" s="47"/>
      <c r="I8" s="19"/>
      <c r="K8" s="18"/>
      <c r="L8" s="42" t="s">
        <v>36</v>
      </c>
      <c r="M8" s="42"/>
      <c r="N8" s="42"/>
      <c r="O8" s="43">
        <v>600</v>
      </c>
      <c r="P8" s="43"/>
      <c r="Q8" s="7"/>
      <c r="R8" s="7"/>
      <c r="S8" s="7"/>
      <c r="T8" s="25"/>
    </row>
    <row r="9" spans="1:20" s="3" customFormat="1" ht="15" customHeight="1" x14ac:dyDescent="0.2">
      <c r="B9" s="18"/>
      <c r="C9" s="35" t="s">
        <v>27</v>
      </c>
      <c r="D9" s="36"/>
      <c r="E9" s="37"/>
      <c r="F9" s="48" t="e">
        <f ca="1">TEXT(VALUE(_xll.ELCOMP("24retail:product",$F$8,_xll.ELCOMPN("24retail:product",$F$8)))+1,0)</f>
        <v>#VALUE!</v>
      </c>
      <c r="G9" s="49"/>
      <c r="H9" s="50"/>
      <c r="I9" s="19"/>
      <c r="K9" s="18"/>
      <c r="L9" s="34"/>
      <c r="M9" s="34"/>
      <c r="N9" s="34"/>
      <c r="O9" s="7"/>
      <c r="P9" s="7"/>
      <c r="Q9" s="7"/>
      <c r="R9" s="7"/>
      <c r="S9" s="7"/>
      <c r="T9" s="25"/>
    </row>
    <row r="10" spans="1:20" s="3" customFormat="1" ht="15" customHeight="1" x14ac:dyDescent="0.25">
      <c r="B10" s="18"/>
      <c r="C10" s="35" t="s">
        <v>28</v>
      </c>
      <c r="D10" s="36"/>
      <c r="E10" s="37"/>
      <c r="F10" s="51"/>
      <c r="G10" s="51"/>
      <c r="H10" s="51"/>
      <c r="I10" s="19"/>
      <c r="K10" s="18"/>
      <c r="L10" s="42" t="s">
        <v>29</v>
      </c>
      <c r="M10" s="42"/>
      <c r="N10" s="42"/>
      <c r="O10" s="43" t="str">
        <f ca="1">_xll.SUBNM("24retail:product","All Members","21001","Caption_Default")</f>
        <v/>
      </c>
      <c r="P10" s="43"/>
      <c r="Q10" s="7"/>
      <c r="R10" s="7"/>
      <c r="S10" s="7"/>
      <c r="T10" s="25"/>
    </row>
    <row r="11" spans="1:20" s="3" customFormat="1" ht="6" customHeight="1" x14ac:dyDescent="0.25">
      <c r="B11" s="29"/>
      <c r="C11" s="6"/>
      <c r="D11" s="6"/>
      <c r="E11" s="6"/>
      <c r="F11" s="6"/>
      <c r="G11" s="6"/>
      <c r="H11" s="6"/>
      <c r="I11" s="20"/>
      <c r="K11" s="18"/>
      <c r="L11" s="34"/>
      <c r="M11" s="34"/>
      <c r="N11" s="34"/>
      <c r="O11" s="7"/>
      <c r="P11" s="7"/>
      <c r="Q11" s="7"/>
      <c r="R11" s="7"/>
      <c r="S11" s="7"/>
      <c r="T11" s="25"/>
    </row>
    <row r="12" spans="1:20" s="5" customFormat="1" ht="15" customHeight="1" x14ac:dyDescent="0.25">
      <c r="B12" s="29"/>
      <c r="C12" s="6"/>
      <c r="D12" s="6"/>
      <c r="E12" s="6"/>
      <c r="F12" s="6"/>
      <c r="G12" s="6"/>
      <c r="H12" s="6"/>
      <c r="I12" s="20"/>
      <c r="K12" s="21"/>
      <c r="L12" s="42" t="s">
        <v>30</v>
      </c>
      <c r="M12" s="42"/>
      <c r="N12" s="42"/>
      <c r="O12" s="43" t="str">
        <f ca="1">_xll.SUBNM("24retail:spread methods","","Even on Qtr End","Caption_Default")</f>
        <v/>
      </c>
      <c r="P12" s="43"/>
      <c r="Q12" s="8"/>
      <c r="R12" s="8"/>
      <c r="S12" s="8"/>
      <c r="T12" s="26"/>
    </row>
    <row r="13" spans="1:20" x14ac:dyDescent="0.25">
      <c r="B13" s="30"/>
      <c r="C13" s="23"/>
      <c r="D13" s="23"/>
      <c r="E13" s="23"/>
      <c r="F13" s="23"/>
      <c r="G13" s="23"/>
      <c r="H13" s="23"/>
      <c r="I13" s="24"/>
      <c r="K13" s="22"/>
      <c r="L13" s="27"/>
      <c r="M13" s="27"/>
      <c r="N13" s="27"/>
      <c r="O13" s="27"/>
      <c r="P13" s="27"/>
      <c r="Q13" s="27"/>
      <c r="R13" s="27"/>
      <c r="S13" s="27"/>
      <c r="T13" s="28"/>
    </row>
    <row r="14" spans="1:20" hidden="1" x14ac:dyDescent="0.25"/>
    <row r="15" spans="1:20" hidden="1" x14ac:dyDescent="0.25"/>
    <row r="17" spans="2:20" s="3" customFormat="1" ht="13.5" customHeight="1" x14ac:dyDescent="0.25">
      <c r="B17" s="46" t="str">
        <f ca="1">_xll.SUBNM("24retail:Revenue","Default","Units Sold","Caption_Default")</f>
        <v/>
      </c>
      <c r="C17" s="46"/>
      <c r="D17" s="46"/>
      <c r="E17" s="31" t="s">
        <v>14</v>
      </c>
      <c r="F17" s="31" t="s">
        <v>15</v>
      </c>
      <c r="G17" s="31" t="s">
        <v>16</v>
      </c>
      <c r="H17" s="31" t="s">
        <v>17</v>
      </c>
      <c r="I17" s="44" t="s">
        <v>18</v>
      </c>
      <c r="J17" s="44"/>
      <c r="K17" s="44" t="s">
        <v>19</v>
      </c>
      <c r="L17" s="44"/>
      <c r="M17" s="31" t="s">
        <v>20</v>
      </c>
      <c r="N17" s="31" t="s">
        <v>21</v>
      </c>
      <c r="O17" s="31" t="s">
        <v>22</v>
      </c>
      <c r="P17" s="31" t="s">
        <v>23</v>
      </c>
      <c r="Q17" s="31" t="s">
        <v>24</v>
      </c>
      <c r="R17" s="31" t="s">
        <v>25</v>
      </c>
      <c r="S17" s="44" t="s">
        <v>1</v>
      </c>
      <c r="T17" s="44"/>
    </row>
    <row r="18" spans="2:20" s="3" customFormat="1" ht="13.5" customHeight="1" x14ac:dyDescent="0.25">
      <c r="B18" s="41" t="str">
        <f ca="1">_xll.SUBNM("24retail:product","Compare",1)</f>
        <v/>
      </c>
      <c r="C18" s="41"/>
      <c r="D18" s="41"/>
      <c r="E18" s="33" t="str">
        <f ca="1">_xll.DBRW($D$1,$B$5,$F$5,$B18,E$17,$I$5,$N$5,$B$17)</f>
        <v/>
      </c>
      <c r="F18" s="33" t="str">
        <f ca="1">_xll.DBRW($D$1,$B$5,$F$5,$B18,F$17,$I$5,$N$5,$B$17)</f>
        <v/>
      </c>
      <c r="G18" s="33" t="str">
        <f ca="1">_xll.DBRW($D$1,$B$5,$F$5,$B18,G$17,$I$5,$N$5,$B$17)</f>
        <v/>
      </c>
      <c r="H18" s="33" t="str">
        <f ca="1">_xll.DBRW($D$1,$B$5,$F$5,$B18,H$17,$I$5,$N$5,$B$17)</f>
        <v/>
      </c>
      <c r="I18" s="45" t="str">
        <f ca="1">_xll.DBRW($D$1,$B$5,$F$5,$B18,I$17,$I$5,$N$5,$B$17)</f>
        <v/>
      </c>
      <c r="J18" s="45"/>
      <c r="K18" s="45" t="str">
        <f ca="1">_xll.DBRW($D$1,$B$5,$F$5,$B18,K$17,$I$5,$N$5,$B$17)</f>
        <v/>
      </c>
      <c r="L18" s="45"/>
      <c r="M18" s="33" t="str">
        <f ca="1">_xll.DBRW($D$1,$B$5,$F$5,$B18,M$17,$I$5,$N$5,$B$17)</f>
        <v/>
      </c>
      <c r="N18" s="33" t="str">
        <f ca="1">_xll.DBRW($D$1,$B$5,$F$5,$B18,N$17,$I$5,$N$5,$B$17)</f>
        <v/>
      </c>
      <c r="O18" s="33" t="str">
        <f ca="1">_xll.DBRW($D$1,$B$5,$F$5,$B18,O$17,$I$5,$N$5,$B$17)</f>
        <v/>
      </c>
      <c r="P18" s="33" t="str">
        <f ca="1">_xll.DBRW($D$1,$B$5,$F$5,$B18,P$17,$I$5,$N$5,$B$17)</f>
        <v/>
      </c>
      <c r="Q18" s="33" t="str">
        <f ca="1">_xll.DBRW($D$1,$B$5,$F$5,$B18,Q$17,$I$5,$N$5,$B$17)</f>
        <v/>
      </c>
      <c r="R18" s="33" t="str">
        <f ca="1">_xll.DBRW($D$1,$B$5,$F$5,$B18,R$17,$I$5,$N$5,$B$17)</f>
        <v/>
      </c>
      <c r="S18" s="45" t="str">
        <f ca="1">_xll.DBRW($D$1,$B$5,$F$5,$B18,S$17,$I$5,$N$5,$B$17)</f>
        <v/>
      </c>
      <c r="T18" s="45"/>
    </row>
    <row r="19" spans="2:20" s="3" customFormat="1" ht="13.5" customHeight="1" x14ac:dyDescent="0.25">
      <c r="B19" s="41" t="str">
        <f ca="1">_xll.SUBNM("24retail:product","New",1,"Caption_Default")</f>
        <v/>
      </c>
      <c r="C19" s="41"/>
      <c r="D19" s="41"/>
      <c r="E19" s="33" t="str">
        <f ca="1">_xll.DBRW($D$1,$B$5,$F$5,$B19,E$17,$I$5,$N$5,$B$17)</f>
        <v/>
      </c>
      <c r="F19" s="33" t="str">
        <f ca="1">_xll.DBRW($D$1,$B$5,$F$5,$B19,F$17,$I$5,$N$5,$B$17)</f>
        <v/>
      </c>
      <c r="G19" s="33" t="str">
        <f ca="1">_xll.DBRW($D$1,$B$5,$F$5,$B19,G$17,$I$5,$N$5,$B$17)</f>
        <v/>
      </c>
      <c r="H19" s="33" t="str">
        <f ca="1">_xll.DBRW($D$1,$B$5,$F$5,$B19,H$17,$I$5,$N$5,$B$17)</f>
        <v/>
      </c>
      <c r="I19" s="45" t="str">
        <f ca="1">_xll.DBRW($D$1,$B$5,$F$5,$B19,I$17,$I$5,$N$5,$B$17)</f>
        <v/>
      </c>
      <c r="J19" s="45"/>
      <c r="K19" s="45" t="str">
        <f ca="1">_xll.DBRW($D$1,$B$5,$F$5,$B19,K$17,$I$5,$N$5,$B$17)</f>
        <v/>
      </c>
      <c r="L19" s="45"/>
      <c r="M19" s="33" t="str">
        <f ca="1">_xll.DBRW($D$1,$B$5,$F$5,$B19,M$17,$I$5,$N$5,$B$17)</f>
        <v/>
      </c>
      <c r="N19" s="33" t="str">
        <f ca="1">_xll.DBRW($D$1,$B$5,$F$5,$B19,N$17,$I$5,$N$5,$B$17)</f>
        <v/>
      </c>
      <c r="O19" s="33" t="str">
        <f ca="1">_xll.DBRW($D$1,$B$5,$F$5,$B19,O$17,$I$5,$N$5,$B$17)</f>
        <v/>
      </c>
      <c r="P19" s="33" t="str">
        <f ca="1">_xll.DBRW($D$1,$B$5,$F$5,$B19,P$17,$I$5,$N$5,$B$17)</f>
        <v/>
      </c>
      <c r="Q19" s="33" t="str">
        <f ca="1">_xll.DBRW($D$1,$B$5,$F$5,$B19,Q$17,$I$5,$N$5,$B$17)</f>
        <v/>
      </c>
      <c r="R19" s="33" t="str">
        <f ca="1">_xll.DBRW($D$1,$B$5,$F$5,$B19,R$17,$I$5,$N$5,$B$17)</f>
        <v/>
      </c>
      <c r="S19" s="45" t="str">
        <f ca="1">_xll.DBRW($D$1,$B$5,$F$5,$B19,S$17,$I$5,$N$5,$B$17)</f>
        <v/>
      </c>
      <c r="T19" s="45"/>
    </row>
    <row r="20" spans="2:20" s="4" customFormat="1" ht="9.9499999999999993" customHeight="1" x14ac:dyDescent="0.25">
      <c r="B20" s="9"/>
      <c r="C20" s="9"/>
      <c r="D20" s="9"/>
      <c r="E20" s="10"/>
      <c r="F20" s="10"/>
      <c r="G20" s="10"/>
      <c r="H20" s="10"/>
      <c r="I20" s="11"/>
      <c r="J20" s="11"/>
      <c r="K20" s="11"/>
      <c r="L20" s="11"/>
      <c r="M20" s="10"/>
      <c r="N20" s="10"/>
      <c r="O20" s="10"/>
      <c r="P20" s="10"/>
      <c r="Q20" s="10"/>
      <c r="R20" s="10"/>
      <c r="S20" s="11"/>
      <c r="T20" s="11"/>
    </row>
  </sheetData>
  <mergeCells count="30">
    <mergeCell ref="S19:T19"/>
    <mergeCell ref="I5:M5"/>
    <mergeCell ref="K17:L17"/>
    <mergeCell ref="K18:L18"/>
    <mergeCell ref="S17:T17"/>
    <mergeCell ref="S18:T18"/>
    <mergeCell ref="F10:H10"/>
    <mergeCell ref="B4:E4"/>
    <mergeCell ref="F4:H4"/>
    <mergeCell ref="N4:P4"/>
    <mergeCell ref="B5:E5"/>
    <mergeCell ref="F5:H5"/>
    <mergeCell ref="N5:P5"/>
    <mergeCell ref="I4:M4"/>
    <mergeCell ref="C8:E8"/>
    <mergeCell ref="B19:D19"/>
    <mergeCell ref="L12:N12"/>
    <mergeCell ref="O12:P12"/>
    <mergeCell ref="I17:J17"/>
    <mergeCell ref="I18:J18"/>
    <mergeCell ref="I19:J19"/>
    <mergeCell ref="K19:L19"/>
    <mergeCell ref="B17:D17"/>
    <mergeCell ref="B18:D18"/>
    <mergeCell ref="F8:H8"/>
    <mergeCell ref="L8:N8"/>
    <mergeCell ref="O8:P8"/>
    <mergeCell ref="F9:H9"/>
    <mergeCell ref="L10:N10"/>
    <mergeCell ref="O10:P10"/>
  </mergeCells>
  <phoneticPr fontId="0" type="noConversion"/>
  <pageMargins left="0.7" right="0.7" top="0.75" bottom="0.75" header="0.3" footer="0.3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3" r:id="rId4" name="TIButton3">
          <controlPr defaultSize="0" print="0" autoLine="0" r:id="rId5">
            <anchor moveWithCells="1">
              <from>
                <xdr:col>5</xdr:col>
                <xdr:colOff>247650</xdr:colOff>
                <xdr:row>11</xdr:row>
                <xdr:rowOff>19050</xdr:rowOff>
              </from>
              <to>
                <xdr:col>9</xdr:col>
                <xdr:colOff>419100</xdr:colOff>
                <xdr:row>16</xdr:row>
                <xdr:rowOff>9525</xdr:rowOff>
              </to>
            </anchor>
          </controlPr>
        </control>
      </mc:Choice>
      <mc:Fallback>
        <control shapeId="46083" r:id="rId4" name="TIButton3"/>
      </mc:Fallback>
    </mc:AlternateContent>
    <mc:AlternateContent xmlns:mc="http://schemas.openxmlformats.org/markup-compatibility/2006">
      <mc:Choice Requires="x14">
        <control shapeId="46084" r:id="rId6" name="TIButton1">
          <controlPr defaultSize="0" print="0" autoLine="0" r:id="rId7">
            <anchor moveWithCells="1">
              <from>
                <xdr:col>16</xdr:col>
                <xdr:colOff>314325</xdr:colOff>
                <xdr:row>8</xdr:row>
                <xdr:rowOff>76200</xdr:rowOff>
              </from>
              <to>
                <xdr:col>20</xdr:col>
                <xdr:colOff>533400</xdr:colOff>
                <xdr:row>11</xdr:row>
                <xdr:rowOff>180975</xdr:rowOff>
              </to>
            </anchor>
          </controlPr>
        </control>
      </mc:Choice>
      <mc:Fallback>
        <control shapeId="46084" r:id="rId6" name="TIButton1"/>
      </mc:Fallback>
    </mc:AlternateContent>
    <mc:AlternateContent xmlns:mc="http://schemas.openxmlformats.org/markup-compatibility/2006">
      <mc:Choice Requires="x14">
        <control shapeId="46085" r:id="rId8" name="TIButton2">
          <controlPr defaultSize="0" print="0" autoLine="0" r:id="rId9">
            <anchor moveWithCells="1">
              <from>
                <xdr:col>13</xdr:col>
                <xdr:colOff>276225</xdr:colOff>
                <xdr:row>1</xdr:row>
                <xdr:rowOff>85725</xdr:rowOff>
              </from>
              <to>
                <xdr:col>16</xdr:col>
                <xdr:colOff>523875</xdr:colOff>
                <xdr:row>3</xdr:row>
                <xdr:rowOff>76200</xdr:rowOff>
              </to>
            </anchor>
          </controlPr>
        </control>
      </mc:Choice>
      <mc:Fallback>
        <control shapeId="46085" r:id="rId8" name="TIButton2"/>
      </mc:Fallback>
    </mc:AlternateContent>
    <mc:AlternateContent xmlns:mc="http://schemas.openxmlformats.org/markup-compatibility/2006">
      <mc:Choice Requires="x14">
        <control shapeId="46086" r:id="rId10" name="TIButton4">
          <controlPr defaultSize="0" print="0" autoLine="0" r:id="rId11">
            <anchor moveWithCells="1">
              <from>
                <xdr:col>16</xdr:col>
                <xdr:colOff>314325</xdr:colOff>
                <xdr:row>11</xdr:row>
                <xdr:rowOff>9525</xdr:rowOff>
              </from>
              <to>
                <xdr:col>20</xdr:col>
                <xdr:colOff>533400</xdr:colOff>
                <xdr:row>16</xdr:row>
                <xdr:rowOff>0</xdr:rowOff>
              </to>
            </anchor>
          </controlPr>
        </control>
      </mc:Choice>
      <mc:Fallback>
        <control shapeId="46086" r:id="rId10" name="TI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3"/>
  <sheetViews>
    <sheetView workbookViewId="0"/>
  </sheetViews>
  <sheetFormatPr defaultRowHeight="15" x14ac:dyDescent="0.25"/>
  <cols>
    <col min="1" max="1" width="17" customWidth="1"/>
    <col min="7" max="7" width="14.85546875" customWidth="1"/>
  </cols>
  <sheetData>
    <row r="1" spans="1:13" x14ac:dyDescent="0.25">
      <c r="A1" s="2" t="s">
        <v>5</v>
      </c>
      <c r="D1" s="2" t="s">
        <v>11</v>
      </c>
      <c r="G1" s="2" t="s">
        <v>32</v>
      </c>
      <c r="H1" s="2"/>
      <c r="I1" s="2" t="s">
        <v>33</v>
      </c>
      <c r="J1" s="2"/>
      <c r="K1" s="2"/>
      <c r="L1" s="2"/>
      <c r="M1" s="2" t="s">
        <v>34</v>
      </c>
    </row>
    <row r="2" spans="1:13" x14ac:dyDescent="0.25">
      <c r="A2" t="s">
        <v>6</v>
      </c>
      <c r="D2" t="s">
        <v>4</v>
      </c>
      <c r="E2">
        <v>1</v>
      </c>
      <c r="G2" t="s">
        <v>35</v>
      </c>
      <c r="I2" t="str">
        <f ca="1">_xll.SUBNM("24retail:product","Product Groups",ROW()-1,"Label")</f>
        <v/>
      </c>
      <c r="M2" t="str">
        <f ca="1">_xll.SUBNM("24retail:Spread Methods","Default",ROW()-1,"Caption_Default")</f>
        <v/>
      </c>
    </row>
    <row r="3" spans="1:13" x14ac:dyDescent="0.25">
      <c r="A3" t="s">
        <v>7</v>
      </c>
      <c r="D3" t="s">
        <v>12</v>
      </c>
      <c r="E3">
        <v>0</v>
      </c>
      <c r="G3" t="s">
        <v>31</v>
      </c>
      <c r="I3" t="str">
        <f ca="1">_xll.SUBNM("24retail:product","Product Groups",ROW()-1,"Label")</f>
        <v/>
      </c>
      <c r="M3" t="str">
        <f ca="1">_xll.SUBNM("24retail:Spread Methods","Default",ROW()-1,"Caption_Default")</f>
        <v/>
      </c>
    </row>
    <row r="4" spans="1:13" x14ac:dyDescent="0.25">
      <c r="A4" t="s">
        <v>8</v>
      </c>
      <c r="I4" t="str">
        <f ca="1">_xll.SUBNM("24retail:product","Product Groups",ROW()-1,"Label")</f>
        <v/>
      </c>
      <c r="M4" t="str">
        <f ca="1">_xll.SUBNM("24retail:Spread Methods","Default",ROW()-1,"Caption_Default")</f>
        <v/>
      </c>
    </row>
    <row r="5" spans="1:13" x14ac:dyDescent="0.25">
      <c r="A5" t="s">
        <v>9</v>
      </c>
      <c r="I5" t="str">
        <f ca="1">_xll.SUBNM("24retail:product","Product Groups",ROW()-1,"Label")</f>
        <v/>
      </c>
      <c r="M5" t="str">
        <f ca="1">_xll.SUBNM("24retail:Spread Methods","Default",ROW()-1,"Caption_Default")</f>
        <v/>
      </c>
    </row>
    <row r="6" spans="1:13" x14ac:dyDescent="0.25">
      <c r="A6" t="s">
        <v>10</v>
      </c>
      <c r="I6" t="str">
        <f ca="1">_xll.SUBNM("24retail:product","Product Groups",ROW()-1,"Label")</f>
        <v/>
      </c>
      <c r="M6" t="str">
        <f ca="1">_xll.SUBNM("24retail:Spread Methods","Default",ROW()-1,"Caption_Default")</f>
        <v/>
      </c>
    </row>
    <row r="7" spans="1:13" x14ac:dyDescent="0.25">
      <c r="I7" t="str">
        <f ca="1">_xll.SUBNM("24retail:product","Product Groups",ROW()-1,"Label")</f>
        <v/>
      </c>
      <c r="M7" t="str">
        <f ca="1">_xll.SUBNM("24retail:Spread Methods","Default",ROW()-1,"Caption_Default")</f>
        <v/>
      </c>
    </row>
    <row r="8" spans="1:13" x14ac:dyDescent="0.25">
      <c r="I8" t="str">
        <f ca="1">_xll.SUBNM("24retail:product","Product Groups",ROW()-1,"Label")</f>
        <v/>
      </c>
      <c r="M8" t="str">
        <f ca="1">_xll.SUBNM("24retail:Spread Methods","Default",ROW()-1,"Caption_Default")</f>
        <v/>
      </c>
    </row>
    <row r="9" spans="1:13" x14ac:dyDescent="0.25">
      <c r="I9" t="str">
        <f ca="1">_xll.SUBNM("24retail:product","Product Groups",ROW()-1,"Label")</f>
        <v/>
      </c>
      <c r="M9" t="str">
        <f ca="1">_xll.SUBNM("24retail:Spread Methods","Default",ROW()-1,"Caption_Default")</f>
        <v/>
      </c>
    </row>
    <row r="10" spans="1:13" x14ac:dyDescent="0.25">
      <c r="I10" t="str">
        <f ca="1">_xll.SUBNM("24retail:product","Product Groups",ROW()-1,"Label")</f>
        <v/>
      </c>
      <c r="M10" t="str">
        <f ca="1">_xll.SUBNM("24retail:Spread Methods","Default",ROW()-1,"Caption_Default")</f>
        <v/>
      </c>
    </row>
    <row r="11" spans="1:13" x14ac:dyDescent="0.25">
      <c r="I11" t="str">
        <f ca="1">_xll.SUBNM("24retail:product","Product Groups",ROW()-1,"Label")</f>
        <v/>
      </c>
      <c r="M11" t="str">
        <f ca="1">_xll.SUBNM("24retail:Spread Methods","Default",ROW()-1,"Caption_Default")</f>
        <v/>
      </c>
    </row>
    <row r="12" spans="1:13" x14ac:dyDescent="0.25">
      <c r="M12" t="str">
        <f ca="1">_xll.SUBNM("24retail:Spread Methods","Default",ROW()-1,"Caption_Default")</f>
        <v/>
      </c>
    </row>
    <row r="13" spans="1:13" x14ac:dyDescent="0.25">
      <c r="M13" t="str">
        <f ca="1">_xll.SUBNM("24retail:Spread Methods","Default",ROW()-1,"Caption_Default")</f>
        <v/>
      </c>
    </row>
    <row r="14" spans="1:13" x14ac:dyDescent="0.25">
      <c r="M14" t="str">
        <f ca="1">_xll.SUBNM("24retail:Spread Methods","Default",ROW()-1,"Caption_Default")</f>
        <v/>
      </c>
    </row>
    <row r="15" spans="1:13" x14ac:dyDescent="0.25">
      <c r="M15" t="str">
        <f ca="1">_xll.SUBNM("24retail:Spread Methods","Default",ROW()-1,"Caption_Default")</f>
        <v/>
      </c>
    </row>
    <row r="16" spans="1:13" x14ac:dyDescent="0.25">
      <c r="M16" t="str">
        <f ca="1">_xll.SUBNM("24retail:Spread Methods","Default",ROW()-1,"Caption_Default")</f>
        <v/>
      </c>
    </row>
    <row r="17" spans="9:13" x14ac:dyDescent="0.25">
      <c r="M17" t="str">
        <f ca="1">_xll.SUBNM("24retail:Spread Methods","Default",ROW()-1,"Caption_Default")</f>
        <v/>
      </c>
    </row>
    <row r="18" spans="9:13" x14ac:dyDescent="0.25">
      <c r="I18" t="str">
        <f ca="1">_xll.SUBNM("24retail:product","Product Groups",ROW(),"Label")</f>
        <v/>
      </c>
      <c r="M18" t="str">
        <f ca="1">_xll.SUBNM("24retail:Spread Methods","Default",ROW()-1,"Caption_Default")</f>
        <v/>
      </c>
    </row>
    <row r="19" spans="9:13" x14ac:dyDescent="0.25">
      <c r="M19" t="str">
        <f ca="1">_xll.SUBNM("24retail:Spread Methods","Default",ROW()-1,"Caption_Default")</f>
        <v/>
      </c>
    </row>
    <row r="20" spans="9:13" x14ac:dyDescent="0.25">
      <c r="M20" t="str">
        <f ca="1">_xll.SUBNM("24retail:Spread Methods","Default",ROW()-1,"Caption_Default")</f>
        <v/>
      </c>
    </row>
    <row r="21" spans="9:13" x14ac:dyDescent="0.25">
      <c r="M21" t="str">
        <f ca="1">_xll.SUBNM("24retail:Spread Methods","Default",ROW()-1,"Caption_Default")</f>
        <v/>
      </c>
    </row>
    <row r="22" spans="9:13" x14ac:dyDescent="0.25">
      <c r="M22" t="str">
        <f ca="1">_xll.SUBNM("24retail:Spread Methods","Default",ROW()-1,"Caption_Default")</f>
        <v/>
      </c>
    </row>
    <row r="23" spans="9:13" x14ac:dyDescent="0.25">
      <c r="M23" t="str">
        <f ca="1">_xll.SUBNM("24retail:Spread Methods","Default",ROW()-1,"Caption_Default")</f>
        <v/>
      </c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ProductAdmin</vt:lpstr>
      <vt:lpstr>Lookup</vt:lpstr>
      <vt:lpstr>Method</vt:lpstr>
      <vt:lpstr>ProductAdmin!pChannel</vt:lpstr>
      <vt:lpstr>ProductAdmin!pCurrentProduct</vt:lpstr>
      <vt:lpstr>ProductAdmin!pNewName</vt:lpstr>
      <vt:lpstr>ProductAdmin!pNewNumber</vt:lpstr>
      <vt:lpstr>ProductAdmin!pOrg</vt:lpstr>
      <vt:lpstr>ProductAdmin!pParent</vt:lpstr>
      <vt:lpstr>ProductAdmin!pProductDriver</vt:lpstr>
      <vt:lpstr>ProductGroups</vt:lpstr>
      <vt:lpstr>ProductSubsets</vt:lpstr>
      <vt:lpstr>ProductAdmin!pSpread</vt:lpstr>
      <vt:lpstr>ProductAdmin!pUnitFcst</vt:lpstr>
      <vt:lpstr>ProductAdmin!pVersion</vt:lpstr>
      <vt:lpstr>ProductAdmin!pYear</vt:lpstr>
      <vt:lpstr>SelectYesNo</vt:lpstr>
      <vt:lpstr>Spreads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gtejeda</cp:lastModifiedBy>
  <dcterms:created xsi:type="dcterms:W3CDTF">2011-12-01T18:47:49Z</dcterms:created>
  <dcterms:modified xsi:type="dcterms:W3CDTF">2016-10-11T17:53:10Z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hannelDetailancestorsArrayListCount">
    <vt:i4>1</vt:i4>
  </property>
  <property fmtid="{D5CDD505-2E9C-101B-9397-08002B2CF9AE}" pid="3" name="ChannelDetailancestorsArrayList1">
    <vt:lpwstr>[]</vt:lpwstr>
  </property>
  <property fmtid="{D5CDD505-2E9C-101B-9397-08002B2CF9AE}" pid="4" name="ChannelDetailcontextObjectCount">
    <vt:i4>1</vt:i4>
  </property>
  <property fmtid="{D5CDD505-2E9C-101B-9397-08002B2CF9AE}" pid="5" name="ChannelDetailcontextObject1">
    <vt:lpwstr>{}</vt:lpwstr>
  </property>
  <property fmtid="{D5CDD505-2E9C-101B-9397-08002B2CF9AE}" pid="6" name="ChannelDetailcolumnsArrayCount">
    <vt:i4>1</vt:i4>
  </property>
  <property fmtid="{D5CDD505-2E9C-101B-9397-08002B2CF9AE}" pid="7" name="ChannelDetailcolumnsArray1">
    <vt:lpwstr>[]</vt:lpwstr>
  </property>
  <property fmtid="{D5CDD505-2E9C-101B-9397-08002B2CF9AE}" pid="8" name="ChannelDetailmembersObjectCount">
    <vt:i4>1</vt:i4>
  </property>
  <property fmtid="{D5CDD505-2E9C-101B-9397-08002B2CF9AE}" pid="9" name="ChannelDetailmembersObject1">
    <vt:lpwstr>{}</vt:lpwstr>
  </property>
  <property fmtid="{D5CDD505-2E9C-101B-9397-08002B2CF9AE}" pid="10" name="ChannelDetailmembersArrayCount">
    <vt:i4>1</vt:i4>
  </property>
  <property fmtid="{D5CDD505-2E9C-101B-9397-08002B2CF9AE}" pid="11" name="ChannelDetailmembersArray1">
    <vt:lpwstr>[]</vt:lpwstr>
  </property>
  <property fmtid="{D5CDD505-2E9C-101B-9397-08002B2CF9AE}" pid="12" name="ChannelDetailchangeListObjectCount">
    <vt:i4>1</vt:i4>
  </property>
  <property fmtid="{D5CDD505-2E9C-101B-9397-08002B2CF9AE}" pid="13" name="ChannelDetailchangeListObject1">
    <vt:lpwstr>{}</vt:lpwstr>
  </property>
  <property fmtid="{D5CDD505-2E9C-101B-9397-08002B2CF9AE}" pid="14" name="MarginDetailancestorsArrayListCount">
    <vt:i4>1</vt:i4>
  </property>
  <property fmtid="{D5CDD505-2E9C-101B-9397-08002B2CF9AE}" pid="15" name="MarginDetailancestorsArrayList1">
    <vt:lpwstr>[]</vt:lpwstr>
  </property>
  <property fmtid="{D5CDD505-2E9C-101B-9397-08002B2CF9AE}" pid="16" name="MarginDetailcontextObjectCount">
    <vt:i4>1</vt:i4>
  </property>
  <property fmtid="{D5CDD505-2E9C-101B-9397-08002B2CF9AE}" pid="17" name="MarginDetailcontextObject1">
    <vt:lpwstr>{}</vt:lpwstr>
  </property>
  <property fmtid="{D5CDD505-2E9C-101B-9397-08002B2CF9AE}" pid="18" name="MarginDetailcolumnsArrayCount">
    <vt:i4>1</vt:i4>
  </property>
  <property fmtid="{D5CDD505-2E9C-101B-9397-08002B2CF9AE}" pid="19" name="MarginDetailcolumnsArray1">
    <vt:lpwstr>[]</vt:lpwstr>
  </property>
  <property fmtid="{D5CDD505-2E9C-101B-9397-08002B2CF9AE}" pid="20" name="MarginDetailmembersObjectCount">
    <vt:i4>1</vt:i4>
  </property>
  <property fmtid="{D5CDD505-2E9C-101B-9397-08002B2CF9AE}" pid="21" name="MarginDetailmembersObject1">
    <vt:lpwstr>{}</vt:lpwstr>
  </property>
  <property fmtid="{D5CDD505-2E9C-101B-9397-08002B2CF9AE}" pid="22" name="MarginDetailmembersArrayCount">
    <vt:i4>1</vt:i4>
  </property>
  <property fmtid="{D5CDD505-2E9C-101B-9397-08002B2CF9AE}" pid="23" name="MarginDetailmembersArray1">
    <vt:lpwstr>[]</vt:lpwstr>
  </property>
  <property fmtid="{D5CDD505-2E9C-101B-9397-08002B2CF9AE}" pid="24" name="MarginDetailchangeListObjectCount">
    <vt:i4>1</vt:i4>
  </property>
  <property fmtid="{D5CDD505-2E9C-101B-9397-08002B2CF9AE}" pid="25" name="MarginDetailchangeListObject1">
    <vt:lpwstr>{}</vt:lpwstr>
  </property>
  <property fmtid="{D5CDD505-2E9C-101B-9397-08002B2CF9AE}" pid="26" name="ProductAdminancestorsArrayListCount">
    <vt:i4>1</vt:i4>
  </property>
  <property fmtid="{D5CDD505-2E9C-101B-9397-08002B2CF9AE}" pid="27" name="ProductAdminancestorsArrayList1">
    <vt:lpwstr>[]</vt:lpwstr>
  </property>
  <property fmtid="{D5CDD505-2E9C-101B-9397-08002B2CF9AE}" pid="28" name="ProductAdmincontextObjectCount">
    <vt:i4>1</vt:i4>
  </property>
  <property fmtid="{D5CDD505-2E9C-101B-9397-08002B2CF9AE}" pid="29" name="ProductAdmincontextObject1">
    <vt:lpwstr>{}</vt:lpwstr>
  </property>
  <property fmtid="{D5CDD505-2E9C-101B-9397-08002B2CF9AE}" pid="30" name="ProductAdmincolumnsArrayCount">
    <vt:i4>1</vt:i4>
  </property>
  <property fmtid="{D5CDD505-2E9C-101B-9397-08002B2CF9AE}" pid="31" name="ProductAdmincolumnsArray1">
    <vt:lpwstr>[]</vt:lpwstr>
  </property>
  <property fmtid="{D5CDD505-2E9C-101B-9397-08002B2CF9AE}" pid="32" name="ProductAdminmembersObjectCount">
    <vt:i4>1</vt:i4>
  </property>
  <property fmtid="{D5CDD505-2E9C-101B-9397-08002B2CF9AE}" pid="33" name="ProductAdminmembersObject1">
    <vt:lpwstr>{}</vt:lpwstr>
  </property>
  <property fmtid="{D5CDD505-2E9C-101B-9397-08002B2CF9AE}" pid="34" name="ProductAdminmembersArrayCount">
    <vt:i4>1</vt:i4>
  </property>
  <property fmtid="{D5CDD505-2E9C-101B-9397-08002B2CF9AE}" pid="35" name="ProductAdminmembersArray1">
    <vt:lpwstr>[]</vt:lpwstr>
  </property>
  <property fmtid="{D5CDD505-2E9C-101B-9397-08002B2CF9AE}" pid="36" name="ProductAdminchangeListObjectCount">
    <vt:i4>1</vt:i4>
  </property>
  <property fmtid="{D5CDD505-2E9C-101B-9397-08002B2CF9AE}" pid="37" name="ProductAdminchangeListObject1">
    <vt:lpwstr>{}</vt:lpwstr>
  </property>
  <property fmtid="{D5CDD505-2E9C-101B-9397-08002B2CF9AE}" pid="38" name="LookupancestorsArrayListCount">
    <vt:i4>1</vt:i4>
  </property>
  <property fmtid="{D5CDD505-2E9C-101B-9397-08002B2CF9AE}" pid="39" name="LookupancestorsArrayList1">
    <vt:lpwstr>[]</vt:lpwstr>
  </property>
  <property fmtid="{D5CDD505-2E9C-101B-9397-08002B2CF9AE}" pid="40" name="LookupcontextObjectCount">
    <vt:i4>1</vt:i4>
  </property>
  <property fmtid="{D5CDD505-2E9C-101B-9397-08002B2CF9AE}" pid="41" name="LookupcontextObject1">
    <vt:lpwstr>{}</vt:lpwstr>
  </property>
  <property fmtid="{D5CDD505-2E9C-101B-9397-08002B2CF9AE}" pid="42" name="LookupcolumnsArrayCount">
    <vt:i4>1</vt:i4>
  </property>
  <property fmtid="{D5CDD505-2E9C-101B-9397-08002B2CF9AE}" pid="43" name="LookupcolumnsArray1">
    <vt:lpwstr>[]</vt:lpwstr>
  </property>
  <property fmtid="{D5CDD505-2E9C-101B-9397-08002B2CF9AE}" pid="44" name="LookupmembersObjectCount">
    <vt:i4>1</vt:i4>
  </property>
  <property fmtid="{D5CDD505-2E9C-101B-9397-08002B2CF9AE}" pid="45" name="LookupmembersObject1">
    <vt:lpwstr>{}</vt:lpwstr>
  </property>
  <property fmtid="{D5CDD505-2E9C-101B-9397-08002B2CF9AE}" pid="46" name="LookupmembersArrayCount">
    <vt:i4>1</vt:i4>
  </property>
  <property fmtid="{D5CDD505-2E9C-101B-9397-08002B2CF9AE}" pid="47" name="LookupmembersArray1">
    <vt:lpwstr>[]</vt:lpwstr>
  </property>
  <property fmtid="{D5CDD505-2E9C-101B-9397-08002B2CF9AE}" pid="48" name="LookupchangeListObjectCount">
    <vt:i4>1</vt:i4>
  </property>
  <property fmtid="{D5CDD505-2E9C-101B-9397-08002B2CF9AE}" pid="49" name="LookupchangeListObject1">
    <vt:lpwstr>{}</vt:lpwstr>
  </property>
  <property fmtid="{D5CDD505-2E9C-101B-9397-08002B2CF9AE}" pid="50" name="AssumptionsancestorsArrayListCount">
    <vt:i4>1</vt:i4>
  </property>
  <property fmtid="{D5CDD505-2E9C-101B-9397-08002B2CF9AE}" pid="51" name="AssumptionsancestorsArrayList1">
    <vt:lpwstr>[]</vt:lpwstr>
  </property>
  <property fmtid="{D5CDD505-2E9C-101B-9397-08002B2CF9AE}" pid="52" name="AssumptionscontextObjectCount">
    <vt:i4>1</vt:i4>
  </property>
  <property fmtid="{D5CDD505-2E9C-101B-9397-08002B2CF9AE}" pid="53" name="AssumptionscontextObject1">
    <vt:lpwstr>{}</vt:lpwstr>
  </property>
  <property fmtid="{D5CDD505-2E9C-101B-9397-08002B2CF9AE}" pid="54" name="AssumptionscolumnsArrayCount">
    <vt:i4>1</vt:i4>
  </property>
  <property fmtid="{D5CDD505-2E9C-101B-9397-08002B2CF9AE}" pid="55" name="AssumptionscolumnsArray1">
    <vt:lpwstr>[]</vt:lpwstr>
  </property>
  <property fmtid="{D5CDD505-2E9C-101B-9397-08002B2CF9AE}" pid="56" name="AssumptionsmembersObjectCount">
    <vt:i4>1</vt:i4>
  </property>
  <property fmtid="{D5CDD505-2E9C-101B-9397-08002B2CF9AE}" pid="57" name="AssumptionsmembersObject1">
    <vt:lpwstr>{}</vt:lpwstr>
  </property>
  <property fmtid="{D5CDD505-2E9C-101B-9397-08002B2CF9AE}" pid="58" name="AssumptionsmembersArrayCount">
    <vt:i4>1</vt:i4>
  </property>
  <property fmtid="{D5CDD505-2E9C-101B-9397-08002B2CF9AE}" pid="59" name="AssumptionsmembersArray1">
    <vt:lpwstr>[]</vt:lpwstr>
  </property>
  <property fmtid="{D5CDD505-2E9C-101B-9397-08002B2CF9AE}" pid="60" name="AssumptionschangeListObjectCount">
    <vt:i4>1</vt:i4>
  </property>
  <property fmtid="{D5CDD505-2E9C-101B-9397-08002B2CF9AE}" pid="61" name="AssumptionschangeListObject1">
    <vt:lpwstr>{}</vt:lpwstr>
  </property>
  <property fmtid="{D5CDD505-2E9C-101B-9397-08002B2CF9AE}" pid="62" name="ReportancestorsArrayListCount">
    <vt:i4>1</vt:i4>
  </property>
  <property fmtid="{D5CDD505-2E9C-101B-9397-08002B2CF9AE}" pid="63" name="ReportancestorsArrayList1">
    <vt:lpwstr>[]</vt:lpwstr>
  </property>
  <property fmtid="{D5CDD505-2E9C-101B-9397-08002B2CF9AE}" pid="64" name="ReportcontextObjectCount">
    <vt:i4>1</vt:i4>
  </property>
  <property fmtid="{D5CDD505-2E9C-101B-9397-08002B2CF9AE}" pid="65" name="ReportcontextObject1">
    <vt:lpwstr>{}</vt:lpwstr>
  </property>
  <property fmtid="{D5CDD505-2E9C-101B-9397-08002B2CF9AE}" pid="66" name="ReportcolumnsArrayCount">
    <vt:i4>1</vt:i4>
  </property>
  <property fmtid="{D5CDD505-2E9C-101B-9397-08002B2CF9AE}" pid="67" name="ReportcolumnsArray1">
    <vt:lpwstr>[]</vt:lpwstr>
  </property>
  <property fmtid="{D5CDD505-2E9C-101B-9397-08002B2CF9AE}" pid="68" name="ReportmembersObjectCount">
    <vt:i4>1</vt:i4>
  </property>
  <property fmtid="{D5CDD505-2E9C-101B-9397-08002B2CF9AE}" pid="69" name="ReportmembersObject1">
    <vt:lpwstr>{}</vt:lpwstr>
  </property>
  <property fmtid="{D5CDD505-2E9C-101B-9397-08002B2CF9AE}" pid="70" name="ReportmembersArrayCount">
    <vt:i4>1</vt:i4>
  </property>
  <property fmtid="{D5CDD505-2E9C-101B-9397-08002B2CF9AE}" pid="71" name="ReportmembersArray1">
    <vt:lpwstr>[]</vt:lpwstr>
  </property>
  <property fmtid="{D5CDD505-2E9C-101B-9397-08002B2CF9AE}" pid="72" name="ReportchangeListObjectCount">
    <vt:i4>1</vt:i4>
  </property>
  <property fmtid="{D5CDD505-2E9C-101B-9397-08002B2CF9AE}" pid="73" name="ReportchangeListObject1">
    <vt:lpwstr>{}</vt:lpwstr>
  </property>
  <property fmtid="{D5CDD505-2E9C-101B-9397-08002B2CF9AE}" pid="74" name="UnitFcstancestorsArrayListCount">
    <vt:i4>1</vt:i4>
  </property>
  <property fmtid="{D5CDD505-2E9C-101B-9397-08002B2CF9AE}" pid="75" name="UnitFcstancestorsArrayList1">
    <vt:lpwstr>[]</vt:lpwstr>
  </property>
  <property fmtid="{D5CDD505-2E9C-101B-9397-08002B2CF9AE}" pid="76" name="UnitFcstcontextObjectCount">
    <vt:i4>1</vt:i4>
  </property>
  <property fmtid="{D5CDD505-2E9C-101B-9397-08002B2CF9AE}" pid="77" name="UnitFcstcontextObject1">
    <vt:lpwstr>{}</vt:lpwstr>
  </property>
  <property fmtid="{D5CDD505-2E9C-101B-9397-08002B2CF9AE}" pid="78" name="UnitFcstcolumnsArrayCount">
    <vt:i4>1</vt:i4>
  </property>
  <property fmtid="{D5CDD505-2E9C-101B-9397-08002B2CF9AE}" pid="79" name="UnitFcstcolumnsArray1">
    <vt:lpwstr>[]</vt:lpwstr>
  </property>
  <property fmtid="{D5CDD505-2E9C-101B-9397-08002B2CF9AE}" pid="80" name="UnitFcstmembersObjectCount">
    <vt:i4>1</vt:i4>
  </property>
  <property fmtid="{D5CDD505-2E9C-101B-9397-08002B2CF9AE}" pid="81" name="UnitFcstmembersObject1">
    <vt:lpwstr>{}</vt:lpwstr>
  </property>
  <property fmtid="{D5CDD505-2E9C-101B-9397-08002B2CF9AE}" pid="82" name="UnitFcstmembersArrayCount">
    <vt:i4>1</vt:i4>
  </property>
  <property fmtid="{D5CDD505-2E9C-101B-9397-08002B2CF9AE}" pid="83" name="UnitFcstmembersArray1">
    <vt:lpwstr>[]</vt:lpwstr>
  </property>
  <property fmtid="{D5CDD505-2E9C-101B-9397-08002B2CF9AE}" pid="84" name="UnitFcstchangeListObjectCount">
    <vt:i4>1</vt:i4>
  </property>
  <property fmtid="{D5CDD505-2E9C-101B-9397-08002B2CF9AE}" pid="85" name="UnitFcstchangeListObject1">
    <vt:lpwstr>{}</vt:lpwstr>
  </property>
</Properties>
</file>