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PM\releases\11\24Retail\24Retail\Data\}Externals\"/>
    </mc:Choice>
  </mc:AlternateContent>
  <bookViews>
    <workbookView xWindow="360" yWindow="375" windowWidth="8910" windowHeight="2040" activeTab="3"/>
  </bookViews>
  <sheets>
    <sheet name="UnitFcst" sheetId="10" r:id="rId1"/>
    <sheet name="ChannelDetail" sheetId="5" r:id="rId2"/>
    <sheet name="MarginDetail" sheetId="13" r:id="rId3"/>
    <sheet name="ProductAdmin" sheetId="11" r:id="rId4"/>
    <sheet name="Lookup" sheetId="2" state="hidden" r:id="rId5"/>
    <sheet name="Assumptions" sheetId="14" r:id="rId6"/>
    <sheet name="Report" sheetId="16" r:id="rId7"/>
  </sheets>
  <definedNames>
    <definedName name="ID" localSheetId="5" hidden="1">"5b92348e-5798-4ac8-b5a2-ace097011e23"</definedName>
    <definedName name="ID" localSheetId="1" hidden="1">"d72491e0-1b9b-4200-ae2c-d7ce74533628"</definedName>
    <definedName name="ID" localSheetId="4" hidden="1">"9945764c-1f6a-45cf-8bb8-1346345edc37"</definedName>
    <definedName name="ID" localSheetId="2" hidden="1">"b3931834-4bc8-4013-96a8-b21b25e317ba"</definedName>
    <definedName name="ID" localSheetId="3" hidden="1">"00366557-f529-4e7b-b2c2-f768e16211c9"</definedName>
    <definedName name="ID" localSheetId="6" hidden="1">"efe4704e-ad40-4443-9582-5800b32716de"</definedName>
    <definedName name="ID" localSheetId="0" hidden="1">"05cc3bcf-6534-49a0-9f71-5aec73518ceb"</definedName>
    <definedName name="Method">Lookup!$G$2:$G$3</definedName>
    <definedName name="pChannel" localSheetId="3">ProductAdmin!$F$5</definedName>
    <definedName name="pCurrentProduct" localSheetId="3">ProductAdmin!$B$19</definedName>
    <definedName name="pFcstMethod" localSheetId="3">ProductAdmin!#REF!</definedName>
    <definedName name="pNewName" localSheetId="3">ProductAdmin!$F$10</definedName>
    <definedName name="pNewNumber" localSheetId="3">ProductAdmin!$F$9</definedName>
    <definedName name="pOrg" localSheetId="3">ProductAdmin!$B$5</definedName>
    <definedName name="pParent" localSheetId="3">ProductAdmin!$F$8</definedName>
    <definedName name="pProductDriver" localSheetId="3">ProductAdmin!$O$10</definedName>
    <definedName name="ProductGroups">Lookup!$I$2:$I$11</definedName>
    <definedName name="ProductSubsets">Lookup!$A$2:$A$6</definedName>
    <definedName name="pSpread" localSheetId="3">ProductAdmin!$O$12</definedName>
    <definedName name="pUnitFcst" localSheetId="3">ProductAdmin!$O$8</definedName>
    <definedName name="pVersion" localSheetId="3">ProductAdmin!$N$5</definedName>
    <definedName name="pYear" localSheetId="3">ProductAdmin!$I$5</definedName>
    <definedName name="SelectYesNo">Lookup!$D$2:$D$3</definedName>
    <definedName name="Spreads">Lookup!$M$2:$M$23</definedName>
    <definedName name="TM1REBUILDOPTION">1</definedName>
    <definedName name="TM1RPTDATARNG1" localSheetId="0">UnitFcst!$19:$30</definedName>
    <definedName name="TM1RPTFMTIDCOL" localSheetId="0">UnitFcst!$A$1:$A$8</definedName>
    <definedName name="TM1RPTFMTRNG" localSheetId="0">UnitFcst!$C$1:$P$8</definedName>
  </definedNames>
  <calcPr calcId="152511" calcMode="manual" concurrentCalc="0"/>
</workbook>
</file>

<file path=xl/calcChain.xml><?xml version="1.0" encoding="utf-8"?>
<calcChain xmlns="http://schemas.openxmlformats.org/spreadsheetml/2006/main">
  <c r="C19" i="16" l="1"/>
  <c r="C18" i="16"/>
  <c r="C17" i="16"/>
  <c r="C16" i="16"/>
  <c r="C15" i="16"/>
  <c r="C14" i="16"/>
  <c r="C13" i="16"/>
  <c r="C12" i="16"/>
  <c r="C11" i="16"/>
  <c r="C10" i="16"/>
  <c r="C9" i="16"/>
  <c r="C8" i="16"/>
  <c r="G5" i="16"/>
  <c r="F5" i="16"/>
  <c r="E5" i="16"/>
  <c r="D5" i="16"/>
  <c r="C5" i="16"/>
  <c r="D1" i="16"/>
  <c r="D20" i="14"/>
  <c r="D19" i="14"/>
  <c r="D18" i="14"/>
  <c r="D17" i="14"/>
  <c r="D15" i="14"/>
  <c r="D14" i="14"/>
  <c r="D13" i="14"/>
  <c r="D12" i="14"/>
  <c r="D10" i="14"/>
  <c r="D9" i="14"/>
  <c r="D8" i="14"/>
  <c r="D7" i="14"/>
  <c r="H5" i="14"/>
  <c r="F5" i="14"/>
  <c r="D5" i="14"/>
  <c r="D1" i="14"/>
  <c r="M23" i="2"/>
  <c r="M22" i="2"/>
  <c r="M21" i="2"/>
  <c r="M20" i="2"/>
  <c r="M19" i="2"/>
  <c r="M18" i="2"/>
  <c r="I18" i="2"/>
  <c r="M17" i="2"/>
  <c r="M16" i="2"/>
  <c r="M15" i="2"/>
  <c r="M14" i="2"/>
  <c r="M13" i="2"/>
  <c r="M12" i="2"/>
  <c r="M11" i="2"/>
  <c r="I11" i="2"/>
  <c r="M10" i="2"/>
  <c r="I10" i="2"/>
  <c r="M9" i="2"/>
  <c r="I9" i="2"/>
  <c r="M8" i="2"/>
  <c r="I8" i="2"/>
  <c r="M7" i="2"/>
  <c r="I7" i="2"/>
  <c r="M6" i="2"/>
  <c r="I6" i="2"/>
  <c r="M5" i="2"/>
  <c r="I5" i="2"/>
  <c r="M4" i="2"/>
  <c r="I4" i="2"/>
  <c r="M3" i="2"/>
  <c r="I3" i="2"/>
  <c r="M2" i="2"/>
  <c r="I2" i="2"/>
  <c r="D23" i="11"/>
  <c r="D22" i="11"/>
  <c r="B19" i="11"/>
  <c r="B18" i="11"/>
  <c r="B17" i="11"/>
  <c r="O12" i="11"/>
  <c r="O10" i="11"/>
  <c r="F8" i="11"/>
  <c r="N5" i="11"/>
  <c r="I5" i="11"/>
  <c r="F5" i="11"/>
  <c r="B5" i="11"/>
  <c r="D1" i="11"/>
  <c r="C15" i="13"/>
  <c r="C14" i="13"/>
  <c r="C13" i="13"/>
  <c r="C12" i="13"/>
  <c r="C11" i="13"/>
  <c r="C10" i="13"/>
  <c r="C9" i="13"/>
  <c r="H8" i="13"/>
  <c r="G8" i="13"/>
  <c r="F8" i="13"/>
  <c r="H5" i="13"/>
  <c r="G5" i="13"/>
  <c r="F5" i="13"/>
  <c r="D5" i="13"/>
  <c r="C5" i="13"/>
  <c r="E1" i="13"/>
  <c r="C29" i="5"/>
  <c r="C28" i="5"/>
  <c r="C27" i="5"/>
  <c r="C26" i="5"/>
  <c r="C11" i="5"/>
  <c r="C10" i="5"/>
  <c r="C9" i="5"/>
  <c r="C8" i="5"/>
  <c r="L5" i="5"/>
  <c r="J5" i="5"/>
  <c r="H5" i="5"/>
  <c r="E5" i="5"/>
  <c r="C5" i="5"/>
  <c r="D1" i="5"/>
  <c r="C9" i="10"/>
  <c r="L13" i="10"/>
  <c r="C19" i="10"/>
  <c r="J13" i="10"/>
  <c r="H13" i="10"/>
  <c r="F13" i="10"/>
  <c r="D13" i="10"/>
  <c r="C13" i="10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A30" i="10"/>
  <c r="A29" i="10"/>
  <c r="A28" i="10"/>
  <c r="A27" i="10"/>
  <c r="A26" i="10"/>
  <c r="A25" i="10"/>
  <c r="A24" i="10"/>
  <c r="A23" i="10"/>
  <c r="A22" i="10"/>
  <c r="A21" i="10"/>
  <c r="A2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P26" i="10"/>
  <c r="O26" i="10"/>
  <c r="N26" i="10"/>
  <c r="M26" i="10"/>
  <c r="L26" i="10"/>
  <c r="K26" i="10"/>
  <c r="J26" i="10"/>
  <c r="I26" i="10"/>
  <c r="H26" i="10"/>
  <c r="G26" i="10"/>
  <c r="F26" i="10"/>
  <c r="E26" i="10"/>
  <c r="D26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P23" i="10"/>
  <c r="O23" i="10"/>
  <c r="N23" i="10"/>
  <c r="M23" i="10"/>
  <c r="L23" i="10"/>
  <c r="K23" i="10"/>
  <c r="J23" i="10"/>
  <c r="I23" i="10"/>
  <c r="H23" i="10"/>
  <c r="G23" i="10"/>
  <c r="F23" i="10"/>
  <c r="E23" i="10"/>
  <c r="D23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C7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P9" i="5"/>
  <c r="O9" i="5"/>
  <c r="N9" i="5"/>
  <c r="M9" i="5"/>
  <c r="L9" i="5"/>
  <c r="K9" i="5"/>
  <c r="J9" i="5"/>
  <c r="I9" i="5"/>
  <c r="H9" i="5"/>
  <c r="G9" i="5"/>
  <c r="F9" i="5"/>
  <c r="E9" i="5"/>
  <c r="D9" i="5"/>
  <c r="P8" i="5"/>
  <c r="O8" i="5"/>
  <c r="N8" i="5"/>
  <c r="M8" i="5"/>
  <c r="L8" i="5"/>
  <c r="K8" i="5"/>
  <c r="J8" i="5"/>
  <c r="I8" i="5"/>
  <c r="H8" i="5"/>
  <c r="G8" i="5"/>
  <c r="F8" i="5"/>
  <c r="E8" i="5"/>
  <c r="D8" i="5"/>
  <c r="I15" i="13"/>
  <c r="H15" i="13"/>
  <c r="G15" i="13"/>
  <c r="F15" i="13"/>
  <c r="E15" i="13"/>
  <c r="I14" i="13"/>
  <c r="H14" i="13"/>
  <c r="G14" i="13"/>
  <c r="F14" i="13"/>
  <c r="E14" i="13"/>
  <c r="I13" i="13"/>
  <c r="H13" i="13"/>
  <c r="G13" i="13"/>
  <c r="F13" i="13"/>
  <c r="E13" i="13"/>
  <c r="I12" i="13"/>
  <c r="H12" i="13"/>
  <c r="G12" i="13"/>
  <c r="F12" i="13"/>
  <c r="E12" i="13"/>
  <c r="I11" i="13"/>
  <c r="H11" i="13"/>
  <c r="G11" i="13"/>
  <c r="F11" i="13"/>
  <c r="E11" i="13"/>
  <c r="I10" i="13"/>
  <c r="H10" i="13"/>
  <c r="G10" i="13"/>
  <c r="F10" i="13"/>
  <c r="E10" i="13"/>
  <c r="I9" i="13"/>
  <c r="H9" i="13"/>
  <c r="G9" i="13"/>
  <c r="F9" i="13"/>
  <c r="E9" i="13"/>
  <c r="I8" i="13"/>
  <c r="H19" i="16"/>
  <c r="G19" i="16"/>
  <c r="F19" i="16"/>
  <c r="E19" i="16"/>
  <c r="D19" i="16"/>
  <c r="H18" i="16"/>
  <c r="G18" i="16"/>
  <c r="F18" i="16"/>
  <c r="E18" i="16"/>
  <c r="D18" i="16"/>
  <c r="H17" i="16"/>
  <c r="G17" i="16"/>
  <c r="F17" i="16"/>
  <c r="E17" i="16"/>
  <c r="D17" i="16"/>
  <c r="H16" i="16"/>
  <c r="G16" i="16"/>
  <c r="F16" i="16"/>
  <c r="E16" i="16"/>
  <c r="D16" i="16"/>
  <c r="H15" i="16"/>
  <c r="G15" i="16"/>
  <c r="F15" i="16"/>
  <c r="E15" i="16"/>
  <c r="D15" i="16"/>
  <c r="H14" i="16"/>
  <c r="G14" i="16"/>
  <c r="F14" i="16"/>
  <c r="E14" i="16"/>
  <c r="D14" i="16"/>
  <c r="H13" i="16"/>
  <c r="G13" i="16"/>
  <c r="F13" i="16"/>
  <c r="E13" i="16"/>
  <c r="D13" i="16"/>
  <c r="H12" i="16"/>
  <c r="G12" i="16"/>
  <c r="F12" i="16"/>
  <c r="E12" i="16"/>
  <c r="D12" i="16"/>
  <c r="H11" i="16"/>
  <c r="G11" i="16"/>
  <c r="F11" i="16"/>
  <c r="E11" i="16"/>
  <c r="D11" i="16"/>
  <c r="H10" i="16"/>
  <c r="G10" i="16"/>
  <c r="F10" i="16"/>
  <c r="E10" i="16"/>
  <c r="D10" i="16"/>
  <c r="H9" i="16"/>
  <c r="G9" i="16"/>
  <c r="F9" i="16"/>
  <c r="E9" i="16"/>
  <c r="D9" i="16"/>
  <c r="H8" i="16"/>
  <c r="G8" i="16"/>
  <c r="F8" i="16"/>
  <c r="E8" i="16"/>
  <c r="D8" i="16"/>
  <c r="P20" i="14"/>
  <c r="O20" i="14"/>
  <c r="N20" i="14"/>
  <c r="M20" i="14"/>
  <c r="L20" i="14"/>
  <c r="K20" i="14"/>
  <c r="J20" i="14"/>
  <c r="I20" i="14"/>
  <c r="H20" i="14"/>
  <c r="G20" i="14"/>
  <c r="F20" i="14"/>
  <c r="E20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P9" i="14"/>
  <c r="O9" i="14"/>
  <c r="N9" i="14"/>
  <c r="M9" i="14"/>
  <c r="L9" i="14"/>
  <c r="K9" i="14"/>
  <c r="J9" i="14"/>
  <c r="I9" i="14"/>
  <c r="H9" i="14"/>
  <c r="G9" i="14"/>
  <c r="F9" i="14"/>
  <c r="E9" i="14"/>
  <c r="P8" i="14"/>
  <c r="O8" i="14"/>
  <c r="N8" i="14"/>
  <c r="M8" i="14"/>
  <c r="L8" i="14"/>
  <c r="K8" i="14"/>
  <c r="J8" i="14"/>
  <c r="I8" i="14"/>
  <c r="H8" i="14"/>
  <c r="G8" i="14"/>
  <c r="F8" i="14"/>
  <c r="E8" i="14"/>
  <c r="A2" i="10"/>
  <c r="A3" i="10"/>
  <c r="A4" i="10"/>
  <c r="A5" i="10"/>
  <c r="A19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</calcChain>
</file>

<file path=xl/sharedStrings.xml><?xml version="1.0" encoding="utf-8"?>
<sst xmlns="http://schemas.openxmlformats.org/spreadsheetml/2006/main" count="233" uniqueCount="90">
  <si>
    <t>Channel</t>
  </si>
  <si>
    <t>Year</t>
  </si>
  <si>
    <t>Version</t>
  </si>
  <si>
    <t>D</t>
  </si>
  <si>
    <t>N</t>
  </si>
  <si>
    <t>[Begin Format Range]</t>
  </si>
  <si>
    <t>[End Format Range]</t>
  </si>
  <si>
    <t>Organization</t>
  </si>
  <si>
    <t>Row Filter</t>
  </si>
  <si>
    <t>Yes</t>
  </si>
  <si>
    <t>ProductSubsets</t>
  </si>
  <si>
    <t>Default</t>
  </si>
  <si>
    <t>Product All</t>
  </si>
  <si>
    <t>Clinical System Analyzers</t>
  </si>
  <si>
    <t>System Accessories</t>
  </si>
  <si>
    <t>System Analysis Packs</t>
  </si>
  <si>
    <t>SelectYesNo</t>
  </si>
  <si>
    <t>No</t>
  </si>
  <si>
    <t>CUBE: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</si>
  <si>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</si>
  <si>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</si>
  <si>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</si>
  <si>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</si>
  <si>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</si>
  <si>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</si>
  <si>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</si>
  <si>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</si>
  <si>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</si>
  <si>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</si>
  <si>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</si>
  <si>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</si>
  <si>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Channel Total</t>
  </si>
  <si>
    <t>Product</t>
  </si>
  <si>
    <t>Measure</t>
  </si>
  <si>
    <t>Revenue</t>
  </si>
  <si>
    <t>New Product Parent</t>
  </si>
  <si>
    <t>New Product Number</t>
  </si>
  <si>
    <t>New Product Name</t>
  </si>
  <si>
    <t>Product Driver (Compare)</t>
  </si>
  <si>
    <t>Spread Driver</t>
  </si>
  <si>
    <t>Generic Spread</t>
  </si>
  <si>
    <t>Method</t>
  </si>
  <si>
    <t>ProductGroups</t>
  </si>
  <si>
    <t>Spreads</t>
  </si>
  <si>
    <t>Specific Product</t>
  </si>
  <si>
    <t>Unit Forecast</t>
  </si>
  <si>
    <t>Units Sold</t>
  </si>
  <si>
    <t>Gross Revenue</t>
  </si>
  <si>
    <t>Product Unit Forecast</t>
  </si>
  <si>
    <t>Channel Forecast</t>
  </si>
  <si>
    <t>New Product Addition</t>
  </si>
  <si>
    <t>Month</t>
  </si>
  <si>
    <t>Unit Price</t>
  </si>
  <si>
    <t>Unit Cost</t>
  </si>
  <si>
    <t>Cost of Sales</t>
  </si>
  <si>
    <t>Gross Margin</t>
  </si>
  <si>
    <t>Gross Margin %</t>
  </si>
  <si>
    <t>Product Gross Margin</t>
  </si>
  <si>
    <t>Initiative Discount</t>
  </si>
  <si>
    <t>Product Assumptions</t>
  </si>
  <si>
    <t>Product Total</t>
  </si>
  <si>
    <t>Q1</t>
  </si>
  <si>
    <t>Q2</t>
  </si>
  <si>
    <t>Q3</t>
  </si>
  <si>
    <t>Q4</t>
  </si>
  <si>
    <t>20000</t>
  </si>
  <si>
    <t>21000</t>
  </si>
  <si>
    <t>22000</t>
  </si>
  <si>
    <t>23000</t>
  </si>
  <si>
    <t>30000</t>
  </si>
  <si>
    <t>31000</t>
  </si>
  <si>
    <t>32000</t>
  </si>
  <si>
    <t>33000</t>
  </si>
  <si>
    <t>40000</t>
  </si>
  <si>
    <t>41000</t>
  </si>
  <si>
    <t>42000</t>
  </si>
  <si>
    <t>Phones</t>
  </si>
  <si>
    <t>3G Smart Phones</t>
  </si>
  <si>
    <t>4G Smart Phones</t>
  </si>
  <si>
    <t>Phone Only</t>
  </si>
  <si>
    <t>PCs</t>
  </si>
  <si>
    <t>Desktops</t>
  </si>
  <si>
    <t>Laptops</t>
  </si>
  <si>
    <t>Gaming</t>
  </si>
  <si>
    <t>Tablets</t>
  </si>
  <si>
    <t>10 Inch Tablets</t>
  </si>
  <si>
    <t>8 Inch Tablets</t>
  </si>
  <si>
    <t>10</t>
  </si>
  <si>
    <t>20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</si>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</sst>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_(* #,##0_);_(* \(#,##0\);_(* &quot; &quot;??_);_(@_)"/>
    <numFmt numFmtId="165" formatCode="_(* #,##0_);_(* \(#,##0\);_(* &quot;-&quot;??_);_(@_)"/>
    <numFmt numFmtId="166" formatCode="&quot;- &quot;@"/>
    <numFmt numFmtId="167" formatCode="&quot;+ &quot;@"/>
    <numFmt numFmtId="168" formatCode="0.00\%"/>
    <numFmt numFmtId="169" formatCode="0.0%"/>
  </numFmts>
  <fonts count="34" x14ac:knownFonts="1">
    <font>
      <sz val="11"/>
      <color theme="1"/>
      <name val="Calibri"/>
      <family val="2"/>
      <scheme val="minor"/>
    </font>
    <font>
      <sz val="10"/>
      <color indexed="9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8"/>
      <color indexed="8"/>
      <name val="Calibri"/>
      <family val="2"/>
    </font>
    <font>
      <sz val="11"/>
      <color indexed="44"/>
      <name val="Calibri"/>
      <family val="2"/>
    </font>
    <font>
      <sz val="14"/>
      <color indexed="63"/>
      <name val="Calibri"/>
      <family val="2"/>
    </font>
    <font>
      <sz val="14"/>
      <name val="Calibri"/>
      <family val="2"/>
    </font>
    <font>
      <sz val="8"/>
      <name val="Calibri"/>
      <family val="2"/>
    </font>
    <font>
      <b/>
      <sz val="9"/>
      <name val="Calibri"/>
      <family val="2"/>
    </font>
    <font>
      <b/>
      <sz val="10"/>
      <name val="Calibri"/>
      <family val="2"/>
    </font>
    <font>
      <b/>
      <sz val="14"/>
      <color indexed="63"/>
      <name val="Calibri"/>
      <family val="2"/>
    </font>
    <font>
      <b/>
      <sz val="8"/>
      <name val="Calibri"/>
      <family val="2"/>
    </font>
    <font>
      <sz val="11"/>
      <color indexed="63"/>
      <name val="Calibri"/>
      <family val="2"/>
    </font>
    <font>
      <b/>
      <sz val="8"/>
      <color indexed="8"/>
      <name val="Calibri"/>
      <family val="2"/>
    </font>
    <font>
      <sz val="9"/>
      <color indexed="8"/>
      <name val="Calibri"/>
      <family val="2"/>
    </font>
    <font>
      <b/>
      <sz val="12"/>
      <name val="Calibri"/>
      <family val="2"/>
    </font>
    <font>
      <b/>
      <sz val="12"/>
      <color indexed="63"/>
      <name val="Calibri"/>
      <family val="2"/>
    </font>
    <font>
      <b/>
      <sz val="9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12"/>
      <name val="Calibri"/>
      <family val="2"/>
      <scheme val="minor"/>
    </font>
    <font>
      <b/>
      <sz val="11"/>
      <color rgb="FF329664"/>
      <name val="Calibri"/>
      <family val="2"/>
      <scheme val="minor"/>
    </font>
    <font>
      <b/>
      <sz val="11"/>
      <color rgb="FF0000C0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Calibri"/>
      <family val="2"/>
    </font>
    <font>
      <b/>
      <sz val="10"/>
      <color theme="0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6"/>
        <bgColor indexed="11"/>
      </patternFill>
    </fill>
    <fill>
      <patternFill patternType="solid">
        <fgColor indexed="47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5F2FF"/>
        <bgColor indexed="64"/>
      </patternFill>
    </fill>
    <fill>
      <patternFill patternType="solid">
        <fgColor rgb="FFFFFACD"/>
        <bgColor indexed="64"/>
      </patternFill>
    </fill>
    <fill>
      <patternFill patternType="lightTrellis">
        <fgColor rgb="FFAFAFAF"/>
        <bgColor rgb="FFEBEBEB"/>
      </patternFill>
    </fill>
    <fill>
      <patternFill patternType="solid">
        <fgColor rgb="FFEBEBEB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1" fillId="8" borderId="2">
      <alignment horizontal="left" vertical="center"/>
    </xf>
    <xf numFmtId="0" fontId="22" fillId="9" borderId="2">
      <alignment horizontal="left" vertical="center"/>
    </xf>
    <xf numFmtId="0" fontId="22" fillId="10" borderId="2">
      <alignment horizontal="left" vertical="center"/>
    </xf>
    <xf numFmtId="0" fontId="24" fillId="8" borderId="2">
      <alignment horizontal="center" vertical="center"/>
    </xf>
    <xf numFmtId="0" fontId="21" fillId="8" borderId="2">
      <alignment horizontal="center" vertical="center"/>
    </xf>
    <xf numFmtId="0" fontId="22" fillId="9" borderId="2">
      <alignment horizontal="center" vertical="center"/>
    </xf>
    <xf numFmtId="0" fontId="22" fillId="10" borderId="2">
      <alignment horizontal="center" vertical="center"/>
    </xf>
    <xf numFmtId="0" fontId="24" fillId="8" borderId="2">
      <alignment horizontal="center" vertical="center"/>
    </xf>
    <xf numFmtId="0" fontId="25" fillId="0" borderId="2">
      <alignment horizontal="right" vertical="center"/>
    </xf>
    <xf numFmtId="0" fontId="25" fillId="11" borderId="2">
      <alignment horizontal="right" vertical="center"/>
    </xf>
    <xf numFmtId="0" fontId="25" fillId="0" borderId="2">
      <alignment horizontal="center" vertical="center"/>
    </xf>
    <xf numFmtId="0" fontId="24" fillId="9" borderId="2"/>
    <xf numFmtId="0" fontId="24" fillId="0" borderId="2">
      <alignment horizontal="center" vertical="center" wrapText="1"/>
    </xf>
    <xf numFmtId="0" fontId="24" fillId="10" borderId="2"/>
    <xf numFmtId="0" fontId="21" fillId="0" borderId="2">
      <alignment horizontal="left" vertical="center"/>
    </xf>
    <xf numFmtId="0" fontId="21" fillId="0" borderId="2">
      <alignment horizontal="left" vertical="top"/>
    </xf>
    <xf numFmtId="0" fontId="21" fillId="8" borderId="2">
      <alignment horizontal="center" vertical="center"/>
    </xf>
    <xf numFmtId="0" fontId="21" fillId="8" borderId="2">
      <alignment horizontal="left" vertical="center"/>
    </xf>
    <xf numFmtId="0" fontId="25" fillId="0" borderId="2">
      <alignment horizontal="right" vertical="center"/>
    </xf>
    <xf numFmtId="0" fontId="25" fillId="0" borderId="2">
      <alignment horizontal="right" vertical="center"/>
    </xf>
    <xf numFmtId="0" fontId="26" fillId="8" borderId="2">
      <alignment horizontal="left" vertical="center" indent="1"/>
    </xf>
    <xf numFmtId="0" fontId="21" fillId="12" borderId="2"/>
    <xf numFmtId="0" fontId="27" fillId="0" borderId="2"/>
    <xf numFmtId="0" fontId="28" fillId="0" borderId="2"/>
    <xf numFmtId="0" fontId="25" fillId="13" borderId="2"/>
    <xf numFmtId="0" fontId="25" fillId="5" borderId="2"/>
  </cellStyleXfs>
  <cellXfs count="152">
    <xf numFmtId="0" fontId="0" fillId="0" borderId="0" xfId="0"/>
    <xf numFmtId="0" fontId="0" fillId="0" borderId="0" xfId="0" applyBorder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vertical="center"/>
    </xf>
    <xf numFmtId="49" fontId="1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6" fillId="0" borderId="0" xfId="0" applyFont="1"/>
    <xf numFmtId="0" fontId="0" fillId="0" borderId="0" xfId="0" applyAlignment="1">
      <alignment vertical="center"/>
    </xf>
    <xf numFmtId="49" fontId="1" fillId="0" borderId="0" xfId="0" applyNumberFormat="1" applyFont="1" applyFill="1" applyBorder="1" applyAlignment="1">
      <alignment horizontal="left" vertical="center" indent="1"/>
    </xf>
    <xf numFmtId="0" fontId="8" fillId="2" borderId="1" xfId="0" applyFont="1" applyFill="1" applyBorder="1" applyAlignment="1">
      <alignment vertical="center"/>
    </xf>
    <xf numFmtId="0" fontId="7" fillId="2" borderId="1" xfId="0" applyFont="1" applyFill="1" applyBorder="1"/>
    <xf numFmtId="0" fontId="9" fillId="2" borderId="1" xfId="0" applyFont="1" applyFill="1" applyBorder="1" applyAlignment="1">
      <alignment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10" fillId="2" borderId="2" xfId="0" applyNumberFormat="1" applyFont="1" applyFill="1" applyBorder="1" applyAlignment="1">
      <alignment horizontal="left" indent="1"/>
    </xf>
    <xf numFmtId="165" fontId="10" fillId="0" borderId="2" xfId="1" applyNumberFormat="1" applyFont="1" applyFill="1" applyBorder="1"/>
    <xf numFmtId="49" fontId="11" fillId="2" borderId="3" xfId="0" applyNumberFormat="1" applyFont="1" applyFill="1" applyBorder="1" applyAlignment="1">
      <alignment horizontal="center" vertical="center"/>
    </xf>
    <xf numFmtId="0" fontId="0" fillId="0" borderId="0" xfId="0" applyFill="1" applyBorder="1"/>
    <xf numFmtId="49" fontId="11" fillId="2" borderId="2" xfId="0" applyNumberFormat="1" applyFont="1" applyFill="1" applyBorder="1" applyAlignment="1">
      <alignment horizontal="center" vertical="center"/>
    </xf>
    <xf numFmtId="49" fontId="14" fillId="2" borderId="2" xfId="0" applyNumberFormat="1" applyFont="1" applyFill="1" applyBorder="1" applyAlignment="1">
      <alignment horizontal="left" indent="1"/>
    </xf>
    <xf numFmtId="166" fontId="14" fillId="2" borderId="2" xfId="0" applyNumberFormat="1" applyFont="1" applyFill="1" applyBorder="1" applyAlignment="1">
      <alignment horizontal="left" indent="1"/>
    </xf>
    <xf numFmtId="166" fontId="14" fillId="2" borderId="2" xfId="0" applyNumberFormat="1" applyFont="1" applyFill="1" applyBorder="1" applyAlignment="1">
      <alignment horizontal="left"/>
    </xf>
    <xf numFmtId="49" fontId="12" fillId="2" borderId="0" xfId="0" applyNumberFormat="1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8" fillId="2" borderId="4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5" fillId="2" borderId="4" xfId="0" applyFont="1" applyFill="1" applyBorder="1"/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0" fontId="5" fillId="2" borderId="9" xfId="0" applyFont="1" applyFill="1" applyBorder="1" applyAlignment="1">
      <alignment horizontal="center" vertical="center"/>
    </xf>
    <xf numFmtId="49" fontId="12" fillId="2" borderId="9" xfId="0" applyNumberFormat="1" applyFon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10" xfId="0" applyFill="1" applyBorder="1"/>
    <xf numFmtId="49" fontId="12" fillId="2" borderId="11" xfId="0" applyNumberFormat="1" applyFont="1" applyFill="1" applyBorder="1" applyAlignment="1">
      <alignment vertical="center"/>
    </xf>
    <xf numFmtId="49" fontId="12" fillId="2" borderId="12" xfId="0" applyNumberFormat="1" applyFont="1" applyFill="1" applyBorder="1" applyAlignment="1">
      <alignment vertical="center"/>
    </xf>
    <xf numFmtId="0" fontId="5" fillId="2" borderId="9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1" xfId="0" applyFill="1" applyBorder="1"/>
    <xf numFmtId="0" fontId="0" fillId="2" borderId="12" xfId="0" applyFill="1" applyBorder="1"/>
    <xf numFmtId="164" fontId="14" fillId="3" borderId="2" xfId="1" applyNumberFormat="1" applyFont="1" applyFill="1" applyBorder="1"/>
    <xf numFmtId="0" fontId="0" fillId="2" borderId="4" xfId="0" applyFill="1" applyBorder="1"/>
    <xf numFmtId="49" fontId="12" fillId="2" borderId="8" xfId="0" applyNumberFormat="1" applyFont="1" applyFill="1" applyBorder="1" applyAlignment="1">
      <alignment vertical="center"/>
    </xf>
    <xf numFmtId="49" fontId="12" fillId="2" borderId="10" xfId="0" applyNumberFormat="1" applyFont="1" applyFill="1" applyBorder="1" applyAlignment="1">
      <alignment vertical="center"/>
    </xf>
    <xf numFmtId="49" fontId="14" fillId="2" borderId="2" xfId="0" applyNumberFormat="1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8" fillId="2" borderId="1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20" fillId="2" borderId="2" xfId="0" applyFont="1" applyFill="1" applyBorder="1" applyAlignment="1">
      <alignment horizontal="center"/>
    </xf>
    <xf numFmtId="0" fontId="20" fillId="2" borderId="3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0" fontId="19" fillId="2" borderId="4" xfId="0" applyFont="1" applyFill="1" applyBorder="1" applyAlignment="1">
      <alignment vertical="center"/>
    </xf>
    <xf numFmtId="165" fontId="6" fillId="0" borderId="2" xfId="1" applyNumberFormat="1" applyFont="1" applyBorder="1" applyAlignment="1">
      <alignment horizontal="right" vertical="center"/>
    </xf>
    <xf numFmtId="43" fontId="6" fillId="5" borderId="2" xfId="1" applyNumberFormat="1" applyFont="1" applyFill="1" applyBorder="1" applyAlignment="1">
      <alignment horizontal="right"/>
    </xf>
    <xf numFmtId="165" fontId="6" fillId="5" borderId="2" xfId="1" applyNumberFormat="1" applyFont="1" applyFill="1" applyBorder="1" applyAlignment="1">
      <alignment horizontal="right"/>
    </xf>
    <xf numFmtId="168" fontId="6" fillId="5" borderId="2" xfId="0" applyNumberFormat="1" applyFont="1" applyFill="1" applyBorder="1" applyAlignment="1">
      <alignment horizontal="right"/>
    </xf>
    <xf numFmtId="0" fontId="5" fillId="2" borderId="0" xfId="0" applyFont="1" applyFill="1" applyBorder="1" applyAlignment="1">
      <alignment horizontal="left" vertical="center" indent="1"/>
    </xf>
    <xf numFmtId="164" fontId="14" fillId="5" borderId="2" xfId="1" applyNumberFormat="1" applyFont="1" applyFill="1" applyBorder="1"/>
    <xf numFmtId="164" fontId="14" fillId="6" borderId="2" xfId="1" applyNumberFormat="1" applyFont="1" applyFill="1" applyBorder="1"/>
    <xf numFmtId="43" fontId="6" fillId="6" borderId="3" xfId="1" applyFont="1" applyFill="1" applyBorder="1" applyAlignment="1"/>
    <xf numFmtId="165" fontId="6" fillId="6" borderId="3" xfId="1" applyNumberFormat="1" applyFont="1" applyFill="1" applyBorder="1" applyAlignment="1"/>
    <xf numFmtId="168" fontId="6" fillId="6" borderId="3" xfId="0" applyNumberFormat="1" applyFont="1" applyFill="1" applyBorder="1" applyAlignment="1"/>
    <xf numFmtId="0" fontId="6" fillId="0" borderId="0" xfId="0" applyFont="1" applyAlignment="1"/>
    <xf numFmtId="2" fontId="6" fillId="0" borderId="0" xfId="0" applyNumberFormat="1" applyFont="1"/>
    <xf numFmtId="0" fontId="20" fillId="0" borderId="0" xfId="0" applyFont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7" fillId="0" borderId="0" xfId="0" applyFont="1" applyFill="1" applyBorder="1"/>
    <xf numFmtId="0" fontId="0" fillId="0" borderId="0" xfId="0" applyFill="1"/>
    <xf numFmtId="0" fontId="17" fillId="0" borderId="3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/>
    </xf>
    <xf numFmtId="169" fontId="6" fillId="0" borderId="2" xfId="2" applyNumberFormat="1" applyFont="1" applyFill="1" applyBorder="1"/>
    <xf numFmtId="43" fontId="6" fillId="0" borderId="2" xfId="1" applyFont="1" applyFill="1" applyBorder="1"/>
    <xf numFmtId="49" fontId="14" fillId="3" borderId="3" xfId="0" applyNumberFormat="1" applyFont="1" applyFill="1" applyBorder="1" applyAlignment="1">
      <alignment horizontal="left" vertical="center" indent="1"/>
    </xf>
    <xf numFmtId="49" fontId="14" fillId="3" borderId="13" xfId="0" applyNumberFormat="1" applyFont="1" applyFill="1" applyBorder="1" applyAlignment="1">
      <alignment horizontal="left" vertical="center" indent="1"/>
    </xf>
    <xf numFmtId="49" fontId="14" fillId="3" borderId="14" xfId="0" applyNumberFormat="1" applyFont="1" applyFill="1" applyBorder="1" applyAlignment="1">
      <alignment horizontal="left" vertical="center" indent="1"/>
    </xf>
    <xf numFmtId="49" fontId="10" fillId="2" borderId="2" xfId="0" applyNumberFormat="1" applyFont="1" applyFill="1" applyBorder="1" applyAlignment="1">
      <alignment horizontal="left" indent="2"/>
    </xf>
    <xf numFmtId="164" fontId="14" fillId="3" borderId="3" xfId="1" applyNumberFormat="1" applyFont="1" applyFill="1" applyBorder="1" applyAlignment="1"/>
    <xf numFmtId="0" fontId="0" fillId="2" borderId="0" xfId="0" applyFill="1" applyBorder="1"/>
    <xf numFmtId="49" fontId="0" fillId="0" borderId="0" xfId="0" quotePrefix="1" applyNumberFormat="1"/>
    <xf numFmtId="167" fontId="14" fillId="2" borderId="2" xfId="0" applyNumberFormat="1" applyFont="1" applyFill="1" applyBorder="1" applyAlignment="1">
      <alignment horizontal="left" indent="4"/>
    </xf>
    <xf numFmtId="166" fontId="14" fillId="2" borderId="2" xfId="0" applyNumberFormat="1" applyFont="1" applyFill="1" applyBorder="1" applyAlignment="1">
      <alignment horizontal="left" indent="2"/>
    </xf>
    <xf numFmtId="0" fontId="0" fillId="0" borderId="0" xfId="0" quotePrefix="1"/>
    <xf numFmtId="0" fontId="6" fillId="2" borderId="2" xfId="0" applyNumberFormat="1" applyFont="1" applyFill="1" applyBorder="1" applyAlignment="1">
      <alignment horizontal="center"/>
    </xf>
    <xf numFmtId="49" fontId="11" fillId="2" borderId="3" xfId="0" applyNumberFormat="1" applyFont="1" applyFill="1" applyBorder="1" applyAlignment="1">
      <alignment horizontal="center" vertical="center"/>
    </xf>
    <xf numFmtId="167" fontId="14" fillId="2" borderId="2" xfId="0" applyNumberFormat="1" applyFont="1" applyFill="1" applyBorder="1" applyAlignment="1">
      <alignment horizontal="left" indent="2"/>
    </xf>
    <xf numFmtId="0" fontId="29" fillId="0" borderId="0" xfId="0" applyFont="1"/>
    <xf numFmtId="0" fontId="6" fillId="0" borderId="0" xfId="0" quotePrefix="1" applyFont="1" applyAlignment="1"/>
    <xf numFmtId="0" fontId="30" fillId="0" borderId="0" xfId="0" applyFont="1" applyFill="1" applyBorder="1" applyAlignment="1">
      <alignment vertical="center"/>
    </xf>
    <xf numFmtId="0" fontId="23" fillId="0" borderId="0" xfId="0" applyFont="1"/>
    <xf numFmtId="0" fontId="11" fillId="2" borderId="3" xfId="0" applyNumberFormat="1" applyFont="1" applyFill="1" applyBorder="1" applyAlignment="1">
      <alignment horizontal="center" vertical="center"/>
    </xf>
    <xf numFmtId="0" fontId="5" fillId="0" borderId="0" xfId="0" quotePrefix="1" applyFont="1"/>
    <xf numFmtId="0" fontId="14" fillId="2" borderId="2" xfId="0" applyNumberFormat="1" applyFont="1" applyFill="1" applyBorder="1" applyAlignment="1">
      <alignment horizontal="left" indent="1"/>
    </xf>
    <xf numFmtId="0" fontId="29" fillId="0" borderId="0" xfId="0" applyFont="1" applyFill="1" applyBorder="1"/>
    <xf numFmtId="0" fontId="29" fillId="0" borderId="0" xfId="0" applyFont="1" applyBorder="1"/>
    <xf numFmtId="0" fontId="14" fillId="2" borderId="3" xfId="0" applyNumberFormat="1" applyFont="1" applyFill="1" applyBorder="1" applyAlignment="1">
      <alignment horizontal="center" vertical="center"/>
    </xf>
    <xf numFmtId="0" fontId="23" fillId="0" borderId="0" xfId="0" applyFont="1" applyFill="1" applyBorder="1"/>
    <xf numFmtId="0" fontId="30" fillId="0" borderId="0" xfId="0" applyFont="1" applyBorder="1" applyAlignment="1">
      <alignment vertical="center"/>
    </xf>
    <xf numFmtId="0" fontId="31" fillId="0" borderId="0" xfId="0" applyFont="1" applyFill="1" applyBorder="1" applyAlignment="1">
      <alignment horizontal="center" vertical="center"/>
    </xf>
    <xf numFmtId="49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Border="1"/>
    <xf numFmtId="166" fontId="30" fillId="0" borderId="0" xfId="0" applyNumberFormat="1" applyFont="1" applyFill="1" applyBorder="1" applyAlignment="1">
      <alignment horizontal="left"/>
    </xf>
    <xf numFmtId="165" fontId="30" fillId="0" borderId="0" xfId="1" applyNumberFormat="1" applyFont="1" applyFill="1" applyBorder="1"/>
    <xf numFmtId="0" fontId="30" fillId="0" borderId="0" xfId="0" applyFont="1" applyFill="1" applyBorder="1"/>
    <xf numFmtId="49" fontId="30" fillId="0" borderId="0" xfId="0" applyNumberFormat="1" applyFont="1" applyFill="1" applyBorder="1" applyAlignment="1">
      <alignment horizontal="left" indent="2"/>
    </xf>
    <xf numFmtId="49" fontId="33" fillId="0" borderId="0" xfId="0" applyNumberFormat="1" applyFont="1" applyFill="1" applyBorder="1" applyAlignment="1">
      <alignment horizontal="left" vertical="center"/>
    </xf>
    <xf numFmtId="3" fontId="33" fillId="0" borderId="0" xfId="0" applyNumberFormat="1" applyFont="1" applyFill="1" applyBorder="1" applyAlignment="1">
      <alignment vertical="center"/>
    </xf>
    <xf numFmtId="3" fontId="33" fillId="0" borderId="0" xfId="0" applyNumberFormat="1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vertical="center"/>
    </xf>
    <xf numFmtId="0" fontId="32" fillId="0" borderId="0" xfId="0" applyFont="1"/>
    <xf numFmtId="0" fontId="12" fillId="0" borderId="0" xfId="0" applyFont="1" applyFill="1" applyBorder="1" applyAlignment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>
      <alignment vertical="center"/>
    </xf>
    <xf numFmtId="49" fontId="11" fillId="0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vertical="center"/>
    </xf>
    <xf numFmtId="3" fontId="2" fillId="0" borderId="0" xfId="0" applyNumberFormat="1" applyFont="1" applyFill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49" fontId="11" fillId="2" borderId="2" xfId="0" applyNumberFormat="1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49" fontId="11" fillId="2" borderId="3" xfId="0" applyNumberFormat="1" applyFont="1" applyFill="1" applyBorder="1" applyAlignment="1">
      <alignment horizontal="center" vertical="center"/>
    </xf>
    <xf numFmtId="49" fontId="11" fillId="2" borderId="13" xfId="0" applyNumberFormat="1" applyFont="1" applyFill="1" applyBorder="1" applyAlignment="1">
      <alignment horizontal="center" vertical="center"/>
    </xf>
    <xf numFmtId="49" fontId="11" fillId="2" borderId="14" xfId="0" applyNumberFormat="1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/>
    </xf>
    <xf numFmtId="165" fontId="6" fillId="5" borderId="2" xfId="1" applyNumberFormat="1" applyFont="1" applyFill="1" applyBorder="1" applyAlignment="1">
      <alignment horizontal="center"/>
    </xf>
    <xf numFmtId="0" fontId="10" fillId="2" borderId="3" xfId="0" applyNumberFormat="1" applyFont="1" applyFill="1" applyBorder="1" applyAlignment="1">
      <alignment horizontal="left" indent="1"/>
    </xf>
    <xf numFmtId="0" fontId="10" fillId="2" borderId="14" xfId="0" applyNumberFormat="1" applyFont="1" applyFill="1" applyBorder="1" applyAlignment="1">
      <alignment horizontal="left" indent="1"/>
    </xf>
    <xf numFmtId="43" fontId="6" fillId="5" borderId="2" xfId="1" applyNumberFormat="1" applyFont="1" applyFill="1" applyBorder="1" applyAlignment="1">
      <alignment horizontal="center"/>
    </xf>
    <xf numFmtId="49" fontId="14" fillId="3" borderId="3" xfId="0" applyNumberFormat="1" applyFont="1" applyFill="1" applyBorder="1" applyAlignment="1">
      <alignment horizontal="left" vertical="center" indent="1"/>
    </xf>
    <xf numFmtId="49" fontId="14" fillId="3" borderId="13" xfId="0" applyNumberFormat="1" applyFont="1" applyFill="1" applyBorder="1" applyAlignment="1">
      <alignment horizontal="left" vertical="center" indent="1"/>
    </xf>
    <xf numFmtId="49" fontId="14" fillId="3" borderId="14" xfId="0" applyNumberFormat="1" applyFont="1" applyFill="1" applyBorder="1" applyAlignment="1">
      <alignment horizontal="left" vertical="center" indent="1"/>
    </xf>
    <xf numFmtId="49" fontId="10" fillId="2" borderId="2" xfId="0" applyNumberFormat="1" applyFont="1" applyFill="1" applyBorder="1" applyAlignment="1">
      <alignment horizontal="left" vertical="center"/>
    </xf>
    <xf numFmtId="49" fontId="14" fillId="3" borderId="2" xfId="0" applyNumberFormat="1" applyFont="1" applyFill="1" applyBorder="1" applyAlignment="1">
      <alignment horizontal="left" vertical="center" indent="1"/>
    </xf>
    <xf numFmtId="3" fontId="6" fillId="0" borderId="2" xfId="0" applyNumberFormat="1" applyFont="1" applyFill="1" applyBorder="1" applyAlignment="1">
      <alignment horizontal="center" vertical="center"/>
    </xf>
    <xf numFmtId="49" fontId="14" fillId="2" borderId="2" xfId="0" applyNumberFormat="1" applyFont="1" applyFill="1" applyBorder="1" applyAlignment="1">
      <alignment horizontal="center" vertical="center"/>
    </xf>
    <xf numFmtId="165" fontId="6" fillId="0" borderId="2" xfId="1" applyNumberFormat="1" applyFont="1" applyBorder="1" applyAlignment="1">
      <alignment horizontal="right" vertical="center"/>
    </xf>
    <xf numFmtId="0" fontId="16" fillId="2" borderId="2" xfId="0" applyFont="1" applyFill="1" applyBorder="1" applyAlignment="1">
      <alignment horizontal="center" vertical="center"/>
    </xf>
    <xf numFmtId="3" fontId="2" fillId="0" borderId="0" xfId="0" applyNumberFormat="1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64" fontId="14" fillId="3" borderId="3" xfId="1" applyNumberFormat="1" applyFont="1" applyFill="1" applyBorder="1" applyAlignment="1">
      <alignment horizontal="center"/>
    </xf>
    <xf numFmtId="164" fontId="14" fillId="3" borderId="13" xfId="1" applyNumberFormat="1" applyFont="1" applyFill="1" applyBorder="1" applyAlignment="1">
      <alignment horizontal="center"/>
    </xf>
    <xf numFmtId="164" fontId="14" fillId="3" borderId="14" xfId="1" applyNumberFormat="1" applyFont="1" applyFill="1" applyBorder="1" applyAlignment="1">
      <alignment horizontal="center"/>
    </xf>
    <xf numFmtId="49" fontId="12" fillId="0" borderId="0" xfId="0" applyNumberFormat="1" applyFont="1" applyFill="1" applyBorder="1" applyAlignment="1">
      <alignment horizontal="center" vertical="center"/>
    </xf>
  </cellXfs>
  <cellStyles count="29">
    <cellStyle name="Calculated Column - IBM Cognos" xfId="21"/>
    <cellStyle name="Calculated Column Name - IBM Cognos" xfId="19"/>
    <cellStyle name="Calculated Row - IBM Cognos" xfId="22"/>
    <cellStyle name="Calculated Row Name - IBM Cognos" xfId="20"/>
    <cellStyle name="Column Name - IBM Cognos" xfId="7"/>
    <cellStyle name="Column Template - IBM Cognos" xfId="10"/>
    <cellStyle name="Comma" xfId="1" builtinId="3"/>
    <cellStyle name="Differs From Base - IBM Cognos" xfId="28"/>
    <cellStyle name="Group Name - IBM Cognos" xfId="18"/>
    <cellStyle name="Hold Values - IBM Cognos" xfId="24"/>
    <cellStyle name="List Name - IBM Cognos" xfId="17"/>
    <cellStyle name="Locked - IBM Cognos" xfId="27"/>
    <cellStyle name="Measure - IBM Cognos" xfId="11"/>
    <cellStyle name="Measure Header - IBM Cognos" xfId="12"/>
    <cellStyle name="Measure Name - IBM Cognos" xfId="13"/>
    <cellStyle name="Measure Summary - IBM Cognos" xfId="14"/>
    <cellStyle name="Measure Summary TM1 - IBM Cognos" xfId="16"/>
    <cellStyle name="Measure Template - IBM Cognos" xfId="15"/>
    <cellStyle name="More - IBM Cognos" xfId="23"/>
    <cellStyle name="Normal" xfId="0" builtinId="0"/>
    <cellStyle name="Pending Change - IBM Cognos" xfId="25"/>
    <cellStyle name="Percent" xfId="2" builtinId="5"/>
    <cellStyle name="Row Name - IBM Cognos" xfId="3"/>
    <cellStyle name="Row Template - IBM Cognos" xfId="6"/>
    <cellStyle name="Summary Column Name - IBM Cognos" xfId="8"/>
    <cellStyle name="Summary Column Name TM1 - IBM Cognos" xfId="9"/>
    <cellStyle name="Summary Row Name - IBM Cognos" xfId="4"/>
    <cellStyle name="Summary Row Name TM1 - IBM Cognos" xfId="5"/>
    <cellStyle name="Unsaved Change - IBM Cognos" xfId="26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A589C"/>
      <rgbColor rgb="00888FAC"/>
      <rgbColor rgb="000000FF"/>
      <rgbColor rgb="00830E17"/>
      <rgbColor rgb="00CDB79E"/>
      <rgbColor rgb="0095B3D7"/>
      <rgbColor rgb="00800000"/>
      <rgbColor rgb="000F3F6A"/>
      <rgbColor rgb="00000080"/>
      <rgbColor rgb="00808000"/>
      <rgbColor rgb="00800080"/>
      <rgbColor rgb="00DBE5F1"/>
      <rgbColor rgb="FFDFDFD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FFBDD6E7"/>
      <rgbColor rgb="00F8F8F8"/>
      <rgbColor rgb="00B7D2EC"/>
      <rgbColor rgb="00E7E5E5"/>
      <rgbColor rgb="003366FF"/>
      <rgbColor rgb="00B8CCE4"/>
      <rgbColor rgb="00E5E5E5"/>
      <rgbColor rgb="00B6DDF1"/>
      <rgbColor rgb="0099AACC"/>
      <rgbColor rgb="00E56565"/>
      <rgbColor rgb="00666699"/>
      <rgbColor rgb="00969696"/>
      <rgbColor rgb="0039CF08"/>
      <rgbColor rgb="00FFFAFA"/>
      <rgbColor rgb="00D6595A"/>
      <rgbColor rgb="00DAD8D8"/>
      <rgbColor rgb="00993300"/>
      <rgbColor rgb="00DFEEFA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122"/>
  <ax:ocxPr ax:name="_ExtentY" ax:value="1005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efresh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-1"/>
  <ax:ocxPr ax:name="UseReferenceForServerName" ax:value="0"/>
  <ax:ocxPr ax:name="ResizeButtonToCaption" ax:value="0"/>
</ax:ocx>
</file>

<file path=xl/activeX/activeX2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122"/>
  <ax:ocxPr ax:name="_ExtentY" ax:value="1005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Channel Detail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Revenue"/>
  <ax:ocxPr ax:name="TargetWorksheetName" ax:value="ChannelDetail"/>
  <ax:ocxPr ax:name="AutoTitles" ax:value="-1"/>
  <ax:ocxPr ax:name="ReplaceWindow" ax:value="0"/>
  <ax:ocxPr ax:name="IsMappingFormula" ax:value="0"/>
  <ax:ocxPr ax:name="TargetTypes" ax:value="0"/>
  <ax:ocxPr ax:name="TargetObjects" ax:value="Product"/>
  <ax:ocxPr ax:name="TargetSubsets" ax:value=""/>
  <ax:ocxPr ax:name="TargetAliases" ax:value=""/>
  <ax:ocxPr ax:name="TargetValues" ax:value=""/>
  <ax:ocxPr ax:name="SourceTypes" ax:value="1"/>
  <ax:ocxPr ax:name="SourceObjects" ax:value="Product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5"/>
  <ax:ocxPr ax:name="PreRecalc" ax:value="0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3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122"/>
  <ax:ocxPr ax:name="_ExtentY" ax:value="1005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Margin Detail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Revenue"/>
  <ax:ocxPr ax:name="TargetWorksheetName" ax:value="MarginDetail"/>
  <ax:ocxPr ax:name="AutoTitles" ax:value="-1"/>
  <ax:ocxPr ax:name="ReplaceWindow" ax:value="0"/>
  <ax:ocxPr ax:name="IsMappingFormula" ax:value="0"/>
  <ax:ocxPr ax:name="TargetTypes" ax:value="0"/>
  <ax:ocxPr ax:name="TargetObjects" ax:value="Product"/>
  <ax:ocxPr ax:name="TargetSubsets" ax:value=""/>
  <ax:ocxPr ax:name="TargetAliases" ax:value=""/>
  <ax:ocxPr ax:name="TargetValues" ax:value=""/>
  <ax:ocxPr ax:name="SourceTypes" ax:value="1"/>
  <ax:ocxPr ax:name="SourceObjects" ax:value="Product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5"/>
  <ax:ocxPr ax:name="PreRecalc" ax:value="0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4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122"/>
  <ax:ocxPr ax:name="_ExtentY" ax:value="1005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efresh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-1"/>
  <ax:ocxPr ax:name="UseReferenceForServerName" ax:value="0"/>
  <ax:ocxPr ax:name="ResizeButtonToCaption" ax:value="0"/>
</ax:ocx>
</file>

<file path=xl/activeX/activeX5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122"/>
  <ax:ocxPr ax:name="_ExtentY" ax:value="1005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Margin Detail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Revenue"/>
  <ax:ocxPr ax:name="TargetWorksheetName" ax:value="MarginDetail"/>
  <ax:ocxPr ax:name="AutoTitles" ax:value="-1"/>
  <ax:ocxPr ax:name="ReplaceWindow" ax:value="0"/>
  <ax:ocxPr ax:name="IsMappingFormula" ax:value="0"/>
  <ax:ocxPr ax:name="TargetTypes" ax:value="0"/>
  <ax:ocxPr ax:name="TargetObjects" ax:value="Chanel"/>
  <ax:ocxPr ax:name="TargetSubsets" ax:value=""/>
  <ax:ocxPr ax:name="TargetAliases" ax:value=""/>
  <ax:ocxPr ax:name="TargetValues" ax:value=""/>
  <ax:ocxPr ax:name="SourceTypes" ax:value="1"/>
  <ax:ocxPr ax:name="SourceObjects" ax:value="Channel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5"/>
  <ax:ocxPr ax:name="PreRecalc" ax:value="0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6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4154"/>
  <ax:ocxPr ax:name="_ExtentY" ax:value="1349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efresh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button2.bmp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-1"/>
  <ax:ocxPr ax:name="UseReferenceForServerName" ax:value="0"/>
  <ax:ocxPr ax:name="ResizeButtonToCaption" ax:value="0"/>
</ax:ocx>
</file>

<file path=xl/activeX/activeX9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Unit Sold by Channel</a:t>
            </a:r>
          </a:p>
        </c:rich>
      </c:tx>
      <c:layout>
        <c:manualLayout>
          <c:xMode val="edge"/>
          <c:yMode val="edge"/>
          <c:x val="0.41146711635750421"/>
          <c:y val="4.26540284360189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92580101180438"/>
          <c:y val="0.26540345777977309"/>
          <c:w val="0.78583473861720066"/>
          <c:h val="0.40758388159036579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ChannelDetail!$C$27</c:f>
              <c:strCache>
                <c:ptCount val="1"/>
              </c:strCache>
            </c:strRef>
          </c:tx>
          <c:spPr>
            <a:solidFill>
              <a:srgbClr val="95B3D7"/>
            </a:solidFill>
            <a:ln w="25400">
              <a:noFill/>
            </a:ln>
          </c:spPr>
          <c:invertIfNegative val="0"/>
          <c:cat>
            <c:strRef>
              <c:f>ChannelDetail!$E$25:$P$25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ChannelDetail!$E$27:$P$27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1"/>
          <c:tx>
            <c:strRef>
              <c:f>ChannelDetail!$C$28</c:f>
              <c:strCache>
                <c:ptCount val="1"/>
              </c:strCache>
            </c:strRef>
          </c:tx>
          <c:spPr>
            <a:solidFill>
              <a:srgbClr val="B8CCE4"/>
            </a:solidFill>
            <a:ln w="25400">
              <a:noFill/>
            </a:ln>
          </c:spPr>
          <c:invertIfNegative val="0"/>
          <c:cat>
            <c:strRef>
              <c:f>ChannelDetail!$E$25:$P$25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ChannelDetail!$E$28:$P$28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2"/>
          <c:tx>
            <c:strRef>
              <c:f>ChannelDetail!$C$29</c:f>
              <c:strCache>
                <c:ptCount val="1"/>
              </c:strCache>
            </c:strRef>
          </c:tx>
          <c:spPr>
            <a:solidFill>
              <a:srgbClr val="DBE5F1"/>
            </a:solidFill>
            <a:ln w="25400">
              <a:noFill/>
            </a:ln>
          </c:spPr>
          <c:invertIfNegative val="0"/>
          <c:cat>
            <c:strRef>
              <c:f>ChannelDetail!$E$25:$P$25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ChannelDetail!$E$29:$P$29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4287464"/>
        <c:axId val="244295304"/>
      </c:barChart>
      <c:catAx>
        <c:axId val="244287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B8CCE4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A589C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295304"/>
        <c:crosses val="autoZero"/>
        <c:auto val="1"/>
        <c:lblAlgn val="ctr"/>
        <c:lblOffset val="100"/>
        <c:noMultiLvlLbl val="0"/>
      </c:catAx>
      <c:valAx>
        <c:axId val="244295304"/>
        <c:scaling>
          <c:orientation val="minMax"/>
        </c:scaling>
        <c:delete val="0"/>
        <c:axPos val="l"/>
        <c:majorGridlines>
          <c:spPr>
            <a:ln w="3175">
              <a:solidFill>
                <a:srgbClr val="B8CCE4"/>
              </a:solidFill>
              <a:prstDash val="solid"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95B3D7"/>
            </a:solidFill>
            <a:prstDash val="solid"/>
          </a:ln>
        </c:spPr>
        <c:crossAx val="244287464"/>
        <c:crosses val="autoZero"/>
        <c:crossBetween val="between"/>
      </c:valAx>
      <c:spPr>
        <a:solidFill>
          <a:srgbClr val="FFFFFF"/>
        </a:solidFill>
        <a:ln w="3175">
          <a:solidFill>
            <a:srgbClr val="969696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558178752107926"/>
          <c:y val="0.87203990496448602"/>
          <c:w val="0.33220910623946032"/>
          <c:h val="9.9526066350710929E-2"/>
        </c:manualLayout>
      </c:layout>
      <c:overlay val="0"/>
      <c:txPr>
        <a:bodyPr/>
        <a:lstStyle/>
        <a:p>
          <a:pPr>
            <a:defRPr sz="825" b="0" i="0" u="none" strike="noStrike" baseline="0">
              <a:solidFill>
                <a:srgbClr val="80808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Unit Sold By Channel</a:t>
            </a:r>
          </a:p>
        </c:rich>
      </c:tx>
      <c:layout>
        <c:manualLayout>
          <c:xMode val="edge"/>
          <c:yMode val="edge"/>
          <c:x val="0.33945050446675817"/>
          <c:y val="4.2654028436018961E-2"/>
        </c:manualLayout>
      </c:layout>
      <c:overlay val="0"/>
      <c:spPr>
        <a:noFill/>
        <a:ln w="25400">
          <a:noFill/>
        </a:ln>
      </c:spPr>
    </c:title>
    <c:autoTitleDeleted val="0"/>
    <c:view3D>
      <c:rotX val="4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3547470934486497"/>
          <c:y val="0.15639846619165199"/>
          <c:w val="0.53211168085722738"/>
          <c:h val="0.66350864444943269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B8CCE4"/>
              </a:solidFill>
              <a:ln w="12700">
                <a:solidFill>
                  <a:srgbClr val="C0C0C0"/>
                </a:solidFill>
                <a:prstDash val="solid"/>
              </a:ln>
            </c:spPr>
          </c:dPt>
          <c:dPt>
            <c:idx val="1"/>
            <c:bubble3D val="0"/>
            <c:spPr>
              <a:solidFill>
                <a:srgbClr val="DBE5F1"/>
              </a:solidFill>
              <a:ln w="12700">
                <a:solidFill>
                  <a:srgbClr val="C0C0C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95B3D7"/>
              </a:solidFill>
              <a:ln w="12700">
                <a:solidFill>
                  <a:srgbClr val="C0C0C0"/>
                </a:solidFill>
                <a:prstDash val="solid"/>
              </a:ln>
            </c:spPr>
          </c:dPt>
          <c:val>
            <c:numRef>
              <c:f>ChannelDetail!$D$27:$D$29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ChannelDetail!$C$27:$C$29</c15:sqref>
                        </c15:formulaRef>
                      </c:ext>
                    </c:extLst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9571929655582043"/>
          <c:y val="0.857821895485813"/>
          <c:w val="0.60244840954513712"/>
          <c:h val="9.9526066350710929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80808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6314086102555"/>
          <c:y val="0.13684245693476801"/>
          <c:w val="0.62666757330378087"/>
          <c:h val="0.6315805704681600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MarginDetail!$C$11</c:f>
              <c:strCache>
                <c:ptCount val="1"/>
              </c:strCache>
            </c:strRef>
          </c:tx>
          <c:spPr>
            <a:solidFill>
              <a:srgbClr val="B8CCE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MarginDetail!$E$8:$H$8</c:f>
              <c:strCache>
                <c:ptCount val="1"/>
                <c:pt idx="0">
                  <c:v>Channel Total</c:v>
                </c:pt>
              </c:strCache>
            </c:strRef>
          </c:cat>
          <c:val>
            <c:numRef>
              <c:f>MarginDetail!$E$11:$H$11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0"/>
          <c:order val="1"/>
          <c:tx>
            <c:strRef>
              <c:f>MarginDetail!$C$14</c:f>
              <c:strCache>
                <c:ptCount val="1"/>
              </c:strCache>
            </c:strRef>
          </c:tx>
          <c:spPr>
            <a:solidFill>
              <a:srgbClr val="95B3D7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MarginDetail!$E$8:$H$8</c:f>
              <c:strCache>
                <c:ptCount val="1"/>
                <c:pt idx="0">
                  <c:v>Channel Total</c:v>
                </c:pt>
              </c:strCache>
            </c:strRef>
          </c:cat>
          <c:val>
            <c:numRef>
              <c:f>MarginDetail!$E$14:$H$14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093432"/>
        <c:axId val="245095000"/>
      </c:barChart>
      <c:lineChart>
        <c:grouping val="standard"/>
        <c:varyColors val="0"/>
        <c:ser>
          <c:idx val="2"/>
          <c:order val="2"/>
          <c:tx>
            <c:strRef>
              <c:f>MarginDetail!$C$15</c:f>
              <c:strCache>
                <c:ptCount val="1"/>
              </c:strCache>
            </c:strRef>
          </c:tx>
          <c:spPr>
            <a:ln w="12700">
              <a:solidFill>
                <a:srgbClr val="0A589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A589C"/>
              </a:solidFill>
              <a:ln>
                <a:solidFill>
                  <a:srgbClr val="0A589C"/>
                </a:solidFill>
                <a:prstDash val="solid"/>
              </a:ln>
            </c:spPr>
          </c:marker>
          <c:cat>
            <c:strRef>
              <c:f>MarginDetail!$E$8:$H$8</c:f>
              <c:strCache>
                <c:ptCount val="1"/>
                <c:pt idx="0">
                  <c:v>Channel Total</c:v>
                </c:pt>
              </c:strCache>
            </c:strRef>
          </c:cat>
          <c:val>
            <c:numRef>
              <c:f>MarginDetail!$E$15:$H$15</c:f>
              <c:numCache>
                <c:formatCode>0.00\%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098920"/>
        <c:axId val="245096568"/>
      </c:lineChart>
      <c:catAx>
        <c:axId val="24509343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950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45095000"/>
        <c:scaling>
          <c:orientation val="minMax"/>
        </c:scaling>
        <c:delete val="0"/>
        <c:axPos val="l"/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93432"/>
        <c:crosses val="autoZero"/>
        <c:crossBetween val="between"/>
      </c:valAx>
      <c:catAx>
        <c:axId val="245098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5096568"/>
        <c:crosses val="autoZero"/>
        <c:auto val="0"/>
        <c:lblAlgn val="ctr"/>
        <c:lblOffset val="100"/>
        <c:noMultiLvlLbl val="0"/>
      </c:catAx>
      <c:valAx>
        <c:axId val="245096568"/>
        <c:scaling>
          <c:orientation val="minMax"/>
        </c:scaling>
        <c:delete val="0"/>
        <c:axPos val="r"/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98920"/>
        <c:crosses val="max"/>
        <c:crossBetween val="between"/>
      </c:valAx>
      <c:spPr>
        <a:solidFill>
          <a:srgbClr val="DBE5F1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148257023427627"/>
          <c:y val="0.28421107887829811"/>
          <c:w val="0.18666697773889374"/>
          <c:h val="0.336843210388175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C0C0C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194092827004218E-2"/>
          <c:y val="6.8292682926829273E-2"/>
          <c:w val="0.94198312236286919"/>
          <c:h val="0.760975609756097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ProductAdmin!$D$22</c:f>
              <c:strCache>
                <c:ptCount val="1"/>
              </c:strCache>
            </c:strRef>
          </c:tx>
          <c:spPr>
            <a:solidFill>
              <a:srgbClr val="99AACC"/>
            </a:solidFill>
            <a:ln w="25400">
              <a:noFill/>
            </a:ln>
          </c:spPr>
          <c:invertIfNegative val="0"/>
          <c:cat>
            <c:strRef>
              <c:f>ProductAdmin!$E$21:$P$21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ProductAdmin!$E$22:$P$22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ProductAdmin!$D$23</c:f>
              <c:strCache>
                <c:ptCount val="1"/>
              </c:strCache>
            </c:strRef>
          </c:tx>
          <c:spPr>
            <a:solidFill>
              <a:srgbClr val="B7D2EC"/>
            </a:solidFill>
            <a:ln w="25400">
              <a:noFill/>
            </a:ln>
          </c:spPr>
          <c:invertIfNegative val="0"/>
          <c:cat>
            <c:strRef>
              <c:f>ProductAdmin!$E$21:$P$21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ProductAdmin!$E$23:$P$23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096176"/>
        <c:axId val="245094608"/>
      </c:barChart>
      <c:catAx>
        <c:axId val="24509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94608"/>
        <c:crosses val="autoZero"/>
        <c:auto val="1"/>
        <c:lblAlgn val="ctr"/>
        <c:lblOffset val="100"/>
        <c:noMultiLvlLbl val="0"/>
      </c:catAx>
      <c:valAx>
        <c:axId val="2450946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9617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92782925690115"/>
          <c:y val="0.13089005235602094"/>
          <c:w val="0.51345859508159264"/>
          <c:h val="0.654450261780104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Report!$C$9</c:f>
              <c:strCache>
                <c:ptCount val="1"/>
                <c:pt idx="0">
                  <c:v>- </c:v>
                </c:pt>
              </c:strCache>
            </c:strRef>
          </c:tx>
          <c:spPr>
            <a:solidFill>
              <a:srgbClr val="95B3D7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Report!$D$7:$G$7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Report!$D$9:$G$9</c:f>
              <c:numCache>
                <c:formatCode>_(* #,##0_);_(* \(#,##0\);_(* " 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Report!$C$13</c:f>
              <c:strCache>
                <c:ptCount val="1"/>
                <c:pt idx="0">
                  <c:v>- </c:v>
                </c:pt>
              </c:strCache>
            </c:strRef>
          </c:tx>
          <c:spPr>
            <a:solidFill>
              <a:srgbClr val="B8CCE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Report!$D$7:$G$7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Report!$D$13:$G$13</c:f>
              <c:numCache>
                <c:formatCode>_(* #,##0_);_(* \(#,##0\);_(* " 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Report!$C$17</c:f>
              <c:strCache>
                <c:ptCount val="1"/>
                <c:pt idx="0">
                  <c:v>- </c:v>
                </c:pt>
              </c:strCache>
            </c:strRef>
          </c:tx>
          <c:spPr>
            <a:solidFill>
              <a:srgbClr val="DBE5F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Report!$D$7:$G$7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Report!$D$17:$G$17</c:f>
              <c:numCache>
                <c:formatCode>_(* #,##0_);_(* \(#,##0\);_(* " 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5094216"/>
        <c:axId val="245097744"/>
      </c:barChart>
      <c:catAx>
        <c:axId val="245094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97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5097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 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9421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116072447465803"/>
          <c:y val="0.30890052356020942"/>
          <c:w val="0.30434847817935806"/>
          <c:h val="0.3036649214659686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61097099813509"/>
          <c:y val="0.13089005235602094"/>
          <c:w val="0.44236894704337959"/>
          <c:h val="0.743455497382198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B8CCE4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  <c:spPr>
              <a:solidFill>
                <a:srgbClr val="95B3D7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DBE5F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(Report!$C$9,Report!$C$13,Report!$C$17)</c:f>
              <c:strCache>
                <c:ptCount val="3"/>
                <c:pt idx="0">
                  <c:v>- </c:v>
                </c:pt>
                <c:pt idx="1">
                  <c:v>- </c:v>
                </c:pt>
                <c:pt idx="2">
                  <c:v>- </c:v>
                </c:pt>
              </c:strCache>
            </c:strRef>
          </c:cat>
          <c:val>
            <c:numRef>
              <c:f>(Report!$H$9,Report!$H$13,Report!$H$17)</c:f>
              <c:numCache>
                <c:formatCode>_(* #,##0_);_(* \(#,##0\);_(* " 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912968822822384"/>
          <c:y val="0.24083769633507854"/>
          <c:w val="0.29595113694900288"/>
          <c:h val="0.5235602094240837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9</xdr:row>
          <xdr:rowOff>95250</xdr:rowOff>
        </xdr:from>
        <xdr:to>
          <xdr:col>13</xdr:col>
          <xdr:colOff>266700</xdr:colOff>
          <xdr:row>9</xdr:row>
          <xdr:rowOff>371475</xdr:rowOff>
        </xdr:to>
        <xdr:sp macro="" textlink="">
          <xdr:nvSpPr>
            <xdr:cNvPr id="45058" name="TIButton1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9</xdr:row>
          <xdr:rowOff>95250</xdr:rowOff>
        </xdr:from>
        <xdr:to>
          <xdr:col>9</xdr:col>
          <xdr:colOff>180975</xdr:colOff>
          <xdr:row>9</xdr:row>
          <xdr:rowOff>371475</xdr:rowOff>
        </xdr:to>
        <xdr:sp macro="" textlink="">
          <xdr:nvSpPr>
            <xdr:cNvPr id="45059" name="TIButton2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9</xdr:row>
          <xdr:rowOff>95250</xdr:rowOff>
        </xdr:from>
        <xdr:to>
          <xdr:col>11</xdr:col>
          <xdr:colOff>152400</xdr:colOff>
          <xdr:row>9</xdr:row>
          <xdr:rowOff>371475</xdr:rowOff>
        </xdr:to>
        <xdr:sp macro="" textlink="">
          <xdr:nvSpPr>
            <xdr:cNvPr id="45064" name="TIButton3" hidden="1">
              <a:extLst>
                <a:ext uri="{63B3BB69-23CF-44E3-9099-C40C66FF867C}">
                  <a14:compatExt spid="_x0000_s45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11</xdr:row>
      <xdr:rowOff>142875</xdr:rowOff>
    </xdr:from>
    <xdr:to>
      <xdr:col>16</xdr:col>
      <xdr:colOff>0</xdr:colOff>
      <xdr:row>22</xdr:row>
      <xdr:rowOff>57150</xdr:rowOff>
    </xdr:to>
    <xdr:graphicFrame macro="">
      <xdr:nvGraphicFramePr>
        <xdr:cNvPr id="518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11</xdr:row>
      <xdr:rowOff>142875</xdr:rowOff>
    </xdr:from>
    <xdr:to>
      <xdr:col>6</xdr:col>
      <xdr:colOff>219075</xdr:colOff>
      <xdr:row>22</xdr:row>
      <xdr:rowOff>57150</xdr:rowOff>
    </xdr:to>
    <xdr:graphicFrame macro="">
      <xdr:nvGraphicFramePr>
        <xdr:cNvPr id="5185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95250</xdr:rowOff>
        </xdr:from>
        <xdr:to>
          <xdr:col>12</xdr:col>
          <xdr:colOff>542925</xdr:colOff>
          <xdr:row>1</xdr:row>
          <xdr:rowOff>457200</xdr:rowOff>
        </xdr:to>
        <xdr:sp macro="" textlink="">
          <xdr:nvSpPr>
            <xdr:cNvPr id="5154" name="TIButton1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1</xdr:row>
          <xdr:rowOff>95250</xdr:rowOff>
        </xdr:from>
        <xdr:to>
          <xdr:col>10</xdr:col>
          <xdr:colOff>381000</xdr:colOff>
          <xdr:row>1</xdr:row>
          <xdr:rowOff>457200</xdr:rowOff>
        </xdr:to>
        <xdr:sp macro="" textlink="">
          <xdr:nvSpPr>
            <xdr:cNvPr id="5155" name="TIButton2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15</xdr:row>
      <xdr:rowOff>133350</xdr:rowOff>
    </xdr:from>
    <xdr:to>
      <xdr:col>9</xdr:col>
      <xdr:colOff>19050</xdr:colOff>
      <xdr:row>25</xdr:row>
      <xdr:rowOff>38100</xdr:rowOff>
    </xdr:to>
    <xdr:graphicFrame macro="">
      <xdr:nvGraphicFramePr>
        <xdr:cNvPr id="4916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24</xdr:row>
      <xdr:rowOff>19050</xdr:rowOff>
    </xdr:from>
    <xdr:to>
      <xdr:col>18</xdr:col>
      <xdr:colOff>514350</xdr:colOff>
      <xdr:row>36</xdr:row>
      <xdr:rowOff>28575</xdr:rowOff>
    </xdr:to>
    <xdr:graphicFrame macro="">
      <xdr:nvGraphicFramePr>
        <xdr:cNvPr id="4610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11</xdr:row>
          <xdr:rowOff>19050</xdr:rowOff>
        </xdr:from>
        <xdr:to>
          <xdr:col>7</xdr:col>
          <xdr:colOff>209550</xdr:colOff>
          <xdr:row>13</xdr:row>
          <xdr:rowOff>0</xdr:rowOff>
        </xdr:to>
        <xdr:sp macro="" textlink="">
          <xdr:nvSpPr>
            <xdr:cNvPr id="46083" name="TI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314325</xdr:colOff>
          <xdr:row>8</xdr:row>
          <xdr:rowOff>76200</xdr:rowOff>
        </xdr:from>
        <xdr:to>
          <xdr:col>18</xdr:col>
          <xdr:colOff>276225</xdr:colOff>
          <xdr:row>10</xdr:row>
          <xdr:rowOff>57150</xdr:rowOff>
        </xdr:to>
        <xdr:sp macro="" textlink="">
          <xdr:nvSpPr>
            <xdr:cNvPr id="46084" name="TIButton1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276225</xdr:colOff>
          <xdr:row>1</xdr:row>
          <xdr:rowOff>85725</xdr:rowOff>
        </xdr:from>
        <xdr:to>
          <xdr:col>15</xdr:col>
          <xdr:colOff>238125</xdr:colOff>
          <xdr:row>1</xdr:row>
          <xdr:rowOff>447675</xdr:rowOff>
        </xdr:to>
        <xdr:sp macro="" textlink="">
          <xdr:nvSpPr>
            <xdr:cNvPr id="46085" name="TIButton2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314325</xdr:colOff>
          <xdr:row>11</xdr:row>
          <xdr:rowOff>9525</xdr:rowOff>
        </xdr:from>
        <xdr:to>
          <xdr:col>18</xdr:col>
          <xdr:colOff>276225</xdr:colOff>
          <xdr:row>12</xdr:row>
          <xdr:rowOff>180975</xdr:rowOff>
        </xdr:to>
        <xdr:sp macro="" textlink="">
          <xdr:nvSpPr>
            <xdr:cNvPr id="46086" name="TIButton4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85725</xdr:rowOff>
    </xdr:from>
    <xdr:to>
      <xdr:col>5</xdr:col>
      <xdr:colOff>314325</xdr:colOff>
      <xdr:row>29</xdr:row>
      <xdr:rowOff>0</xdr:rowOff>
    </xdr:to>
    <xdr:graphicFrame macro="">
      <xdr:nvGraphicFramePr>
        <xdr:cNvPr id="522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390525</xdr:colOff>
      <xdr:row>19</xdr:row>
      <xdr:rowOff>85725</xdr:rowOff>
    </xdr:from>
    <xdr:to>
      <xdr:col>8</xdr:col>
      <xdr:colOff>0</xdr:colOff>
      <xdr:row>29</xdr:row>
      <xdr:rowOff>0</xdr:rowOff>
    </xdr:to>
    <xdr:graphicFrame macro="">
      <xdr:nvGraphicFramePr>
        <xdr:cNvPr id="5225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LL30"/>
  <sheetViews>
    <sheetView showGridLines="0" topLeftCell="B10" workbookViewId="0">
      <pane ySplit="9" topLeftCell="A19" activePane="bottomLeft" state="frozen"/>
      <selection activeCell="B10" sqref="B10"/>
      <selection pane="bottomLeft" activeCell="C30" sqref="C30"/>
    </sheetView>
  </sheetViews>
  <sheetFormatPr defaultRowHeight="15" x14ac:dyDescent="0.25"/>
  <cols>
    <col min="1" max="1" width="2.7109375" hidden="1" customWidth="1"/>
    <col min="2" max="2" width="1.28515625" customWidth="1"/>
    <col min="3" max="3" width="24.140625" customWidth="1"/>
    <col min="4" max="4" width="10.85546875" customWidth="1"/>
    <col min="5" max="16" width="9.5703125" customWidth="1"/>
  </cols>
  <sheetData>
    <row r="1" spans="1:16" hidden="1" x14ac:dyDescent="0.25">
      <c r="A1" t="s">
        <v>5</v>
      </c>
    </row>
    <row r="2" spans="1:16" hidden="1" x14ac:dyDescent="0.25">
      <c r="A2">
        <f>0</f>
        <v>0</v>
      </c>
      <c r="C2" s="20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16" hidden="1" x14ac:dyDescent="0.25">
      <c r="A3">
        <f>1</f>
        <v>1</v>
      </c>
      <c r="C3" s="20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</row>
    <row r="4" spans="1:16" hidden="1" x14ac:dyDescent="0.25">
      <c r="A4">
        <f>2</f>
        <v>2</v>
      </c>
      <c r="C4" s="20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</row>
    <row r="5" spans="1:16" hidden="1" x14ac:dyDescent="0.25">
      <c r="A5">
        <f>3</f>
        <v>3</v>
      </c>
      <c r="C5" s="15"/>
      <c r="D5" s="62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</row>
    <row r="6" spans="1:16" hidden="1" x14ac:dyDescent="0.25">
      <c r="A6" t="s">
        <v>3</v>
      </c>
      <c r="C6" s="15"/>
      <c r="D6" s="62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</row>
    <row r="7" spans="1:16" hidden="1" x14ac:dyDescent="0.25">
      <c r="A7" t="s">
        <v>4</v>
      </c>
      <c r="C7" s="15"/>
      <c r="D7" s="62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</row>
    <row r="8" spans="1:16" hidden="1" x14ac:dyDescent="0.25">
      <c r="A8" t="s">
        <v>6</v>
      </c>
    </row>
    <row r="9" spans="1:16" hidden="1" x14ac:dyDescent="0.25">
      <c r="C9" t="str">
        <f ca="1">_xll.TM1RPTVIEW("24retail:Revenue:1", 0, _xll.TM1RPTTITLE("24retail:organization",$C$13), _xll.TM1RPTTITLE("24retail:Channel",$D$13), _xll.TM1RPTTITLE("24retail:Year",$H$13), _xll.TM1RPTTITLE("24retail:Version",$J$13), _xll.TM1RPTTITLE("24retail:Revenue",$F$13),TM1RPTFMTRNG,TM1RPTFMTIDCOL)</f>
        <v>24retail:Revenue:1</v>
      </c>
    </row>
    <row r="10" spans="1:16" ht="37.5" customHeight="1" thickBot="1" x14ac:dyDescent="0.3">
      <c r="A10" s="45"/>
      <c r="B10" s="11"/>
      <c r="C10" s="50" t="s">
        <v>48</v>
      </c>
      <c r="D10" s="11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ht="7.5" customHeight="1" x14ac:dyDescent="0.25"/>
    <row r="12" spans="1:16" s="4" customFormat="1" ht="15" customHeight="1" x14ac:dyDescent="0.25">
      <c r="C12" s="17" t="s">
        <v>7</v>
      </c>
      <c r="D12" s="122" t="s">
        <v>0</v>
      </c>
      <c r="E12" s="122"/>
      <c r="F12" s="122" t="s">
        <v>34</v>
      </c>
      <c r="G12" s="122"/>
      <c r="H12" s="122" t="s">
        <v>1</v>
      </c>
      <c r="I12" s="122"/>
      <c r="J12" s="122" t="s">
        <v>2</v>
      </c>
      <c r="K12" s="122"/>
      <c r="L12" s="122" t="s">
        <v>8</v>
      </c>
      <c r="M12" s="122"/>
      <c r="N12" s="122"/>
      <c r="O12" s="5"/>
      <c r="P12" s="6"/>
    </row>
    <row r="13" spans="1:16" s="4" customFormat="1" ht="15" customHeight="1" x14ac:dyDescent="0.25">
      <c r="C13" s="49" t="str">
        <f ca="1">_xll.SUBNM("24retail:organization","Workflow","101","Caption_Default")</f>
        <v/>
      </c>
      <c r="D13" s="123" t="str">
        <f ca="1">_xll.SUBNM("24retail:Channel","Default","Channel Total","Caption_Default")</f>
        <v/>
      </c>
      <c r="E13" s="123"/>
      <c r="F13" s="123" t="str">
        <f ca="1">_xll.SUBNM("24retail:Revenue","Default","Units Sold","Caption_Default")</f>
        <v/>
      </c>
      <c r="G13" s="123"/>
      <c r="H13" s="123" t="str">
        <f ca="1">_xll.SUBNM("24retail:Year","Default","Y2","Caption_Default")</f>
        <v/>
      </c>
      <c r="I13" s="123"/>
      <c r="J13" s="123" t="str">
        <f ca="1">_xll.SUBNM("24retail:Version","Current",_xll.DBR("24retail:Calendar","Current Version","String"),"Caption_Default")</f>
        <v/>
      </c>
      <c r="K13" s="123"/>
      <c r="L13" s="123" t="str">
        <f ca="1">_xll.SUBNM("24retail:ProductSubset_PickList","Default","Default")</f>
        <v/>
      </c>
      <c r="M13" s="123"/>
      <c r="N13" s="123"/>
      <c r="O13" s="7"/>
    </row>
    <row r="14" spans="1:16" s="4" customFormat="1" ht="7.5" customHeight="1" x14ac:dyDescent="0.25"/>
    <row r="15" spans="1:16" s="4" customFormat="1" ht="15" hidden="1" customHeight="1" x14ac:dyDescent="0.25">
      <c r="C15" s="14" t="s">
        <v>8</v>
      </c>
      <c r="D15" s="121"/>
      <c r="E15" s="121"/>
      <c r="I15" s="10"/>
      <c r="J15" s="124"/>
      <c r="K15" s="124"/>
    </row>
    <row r="16" spans="1:16" s="4" customFormat="1" ht="15" hidden="1" customHeight="1" x14ac:dyDescent="0.25">
      <c r="I16" s="10"/>
      <c r="J16" s="124"/>
      <c r="K16" s="124"/>
    </row>
    <row r="17" spans="1:1000" s="4" customFormat="1" ht="15" hidden="1" customHeight="1" x14ac:dyDescent="0.25"/>
    <row r="18" spans="1:1000" s="4" customFormat="1" ht="12.75" x14ac:dyDescent="0.25">
      <c r="D18" s="17" t="s">
        <v>1</v>
      </c>
      <c r="E18" s="17" t="s">
        <v>19</v>
      </c>
      <c r="F18" s="17" t="s">
        <v>20</v>
      </c>
      <c r="G18" s="17" t="s">
        <v>21</v>
      </c>
      <c r="H18" s="17" t="s">
        <v>22</v>
      </c>
      <c r="I18" s="17" t="s">
        <v>23</v>
      </c>
      <c r="J18" s="17" t="s">
        <v>24</v>
      </c>
      <c r="K18" s="17" t="s">
        <v>25</v>
      </c>
      <c r="L18" s="17" t="s">
        <v>26</v>
      </c>
      <c r="M18" s="17" t="s">
        <v>27</v>
      </c>
      <c r="N18" s="17" t="s">
        <v>28</v>
      </c>
      <c r="O18" s="17" t="s">
        <v>29</v>
      </c>
      <c r="P18" s="19" t="s">
        <v>30</v>
      </c>
    </row>
    <row r="19" spans="1:1000" s="8" customFormat="1" x14ac:dyDescent="0.25">
      <c r="A19" t="str">
        <f ca="1">IF(_xll.TM1RPTELISCONSOLIDATED($C$19,$C19),IF(_xll.TM1RPTELLEV($C$19,$C19)&lt;=3,_xll.TM1RPTELLEV($C$19,$C19),"D"),IF($F$13="Units Sold","D","N"))</f>
        <v>N</v>
      </c>
      <c r="B19"/>
      <c r="C19" s="22" t="str">
        <f ca="1">_xll.TM1RPTROW($C$9,"24retail:product",$L$13)</f>
        <v/>
      </c>
      <c r="D19" s="44" t="str">
        <f ca="1">_xll.DBRW($C$9,$C$13,$D$13,$C19,D$18,$H$13,$J$13,$F$13)</f>
        <v/>
      </c>
      <c r="E19" s="44" t="str">
        <f ca="1">_xll.DBRW($C$9,$C$13,$D$13,$C19,E$18,$H$13,$J$13,$F$13)</f>
        <v/>
      </c>
      <c r="F19" s="44" t="str">
        <f ca="1">_xll.DBRW($C$9,$C$13,$D$13,$C19,F$18,$H$13,$J$13,$F$13)</f>
        <v/>
      </c>
      <c r="G19" s="44" t="str">
        <f ca="1">_xll.DBRW($C$9,$C$13,$D$13,$C19,G$18,$H$13,$J$13,$F$13)</f>
        <v/>
      </c>
      <c r="H19" s="44" t="str">
        <f ca="1">_xll.DBRW($C$9,$C$13,$D$13,$C19,H$18,$H$13,$J$13,$F$13)</f>
        <v/>
      </c>
      <c r="I19" s="44" t="str">
        <f ca="1">_xll.DBRW($C$9,$C$13,$D$13,$C19,I$18,$H$13,$J$13,$F$13)</f>
        <v/>
      </c>
      <c r="J19" s="44" t="str">
        <f ca="1">_xll.DBRW($C$9,$C$13,$D$13,$C19,J$18,$H$13,$J$13,$F$13)</f>
        <v/>
      </c>
      <c r="K19" s="44" t="str">
        <f ca="1">_xll.DBRW($C$9,$C$13,$D$13,$C19,K$18,$H$13,$J$13,$F$13)</f>
        <v/>
      </c>
      <c r="L19" s="44" t="str">
        <f ca="1">_xll.DBRW($C$9,$C$13,$D$13,$C19,L$18,$H$13,$J$13,$F$13)</f>
        <v/>
      </c>
      <c r="M19" s="44" t="str">
        <f ca="1">_xll.DBRW($C$9,$C$13,$D$13,$C19,M$18,$H$13,$J$13,$F$13)</f>
        <v/>
      </c>
      <c r="N19" s="44" t="str">
        <f ca="1">_xll.DBRW($C$9,$C$13,$D$13,$C19,N$18,$H$13,$J$13,$F$13)</f>
        <v/>
      </c>
      <c r="O19" s="44" t="str">
        <f ca="1">_xll.DBRW($C$9,$C$13,$D$13,$C19,O$18,$H$13,$J$13,$F$13)</f>
        <v/>
      </c>
      <c r="P19" s="44" t="str">
        <f ca="1">_xll.DBRW($C$9,$C$13,$D$13,$C19,P$18,$H$13,$J$13,$F$13)</f>
        <v/>
      </c>
    </row>
    <row r="20" spans="1:1000" x14ac:dyDescent="0.25">
      <c r="A20" t="str">
        <f ca="1">IF(_xll.TM1RPTELISCONSOLIDATED($C$19,$C20),IF(_xll.TM1RPTELLEV($C$19,$C20)&lt;=3,_xll.TM1RPTELLEV($C$19,$C20),"D"),IF($F$13="Units Sold","D","N"))</f>
        <v>N</v>
      </c>
      <c r="C20" s="21" t="s">
        <v>76</v>
      </c>
      <c r="D20" s="44" t="str">
        <f ca="1">_xll.DBRW($C$9,$C$13,$D$13,$C20,D$18,$H$13,$J$13,$F$13)</f>
        <v/>
      </c>
      <c r="E20" s="44" t="str">
        <f ca="1">_xll.DBRW($C$9,$C$13,$D$13,$C20,E$18,$H$13,$J$13,$F$13)</f>
        <v/>
      </c>
      <c r="F20" s="44" t="str">
        <f ca="1">_xll.DBRW($C$9,$C$13,$D$13,$C20,F$18,$H$13,$J$13,$F$13)</f>
        <v/>
      </c>
      <c r="G20" s="44" t="str">
        <f ca="1">_xll.DBRW($C$9,$C$13,$D$13,$C20,G$18,$H$13,$J$13,$F$13)</f>
        <v/>
      </c>
      <c r="H20" s="44" t="str">
        <f ca="1">_xll.DBRW($C$9,$C$13,$D$13,$C20,H$18,$H$13,$J$13,$F$13)</f>
        <v/>
      </c>
      <c r="I20" s="44" t="str">
        <f ca="1">_xll.DBRW($C$9,$C$13,$D$13,$C20,I$18,$H$13,$J$13,$F$13)</f>
        <v/>
      </c>
      <c r="J20" s="44" t="str">
        <f ca="1">_xll.DBRW($C$9,$C$13,$D$13,$C20,J$18,$H$13,$J$13,$F$13)</f>
        <v/>
      </c>
      <c r="K20" s="44" t="str">
        <f ca="1">_xll.DBRW($C$9,$C$13,$D$13,$C20,K$18,$H$13,$J$13,$F$13)</f>
        <v/>
      </c>
      <c r="L20" s="44" t="str">
        <f ca="1">_xll.DBRW($C$9,$C$13,$D$13,$C20,L$18,$H$13,$J$13,$F$13)</f>
        <v/>
      </c>
      <c r="M20" s="44" t="str">
        <f ca="1">_xll.DBRW($C$9,$C$13,$D$13,$C20,M$18,$H$13,$J$13,$F$13)</f>
        <v/>
      </c>
      <c r="N20" s="44" t="str">
        <f ca="1">_xll.DBRW($C$9,$C$13,$D$13,$C20,N$18,$H$13,$J$13,$F$13)</f>
        <v/>
      </c>
      <c r="O20" s="44" t="str">
        <f ca="1">_xll.DBRW($C$9,$C$13,$D$13,$C20,O$18,$H$13,$J$13,$F$13)</f>
        <v/>
      </c>
      <c r="P20" s="44" t="str">
        <f ca="1">_xll.DBRW($C$9,$C$13,$D$13,$C20,P$18,$H$13,$J$13,$F$13)</f>
        <v/>
      </c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  <c r="AAA20" s="8"/>
      <c r="AAB20" s="8"/>
      <c r="AAC20" s="8"/>
      <c r="AAD20" s="8"/>
      <c r="AAE20" s="8"/>
      <c r="AAF20" s="8"/>
      <c r="AAG20" s="8"/>
      <c r="AAH20" s="8"/>
      <c r="AAI20" s="8"/>
      <c r="AAJ20" s="8"/>
      <c r="AAK20" s="8"/>
      <c r="AAL20" s="8"/>
      <c r="AAM20" s="8"/>
      <c r="AAN20" s="8"/>
      <c r="AAO20" s="8"/>
      <c r="AAP20" s="8"/>
      <c r="AAQ20" s="8"/>
      <c r="AAR20" s="8"/>
      <c r="AAS20" s="8"/>
      <c r="AAT20" s="8"/>
      <c r="AAU20" s="8"/>
      <c r="AAV20" s="8"/>
      <c r="AAW20" s="8"/>
      <c r="AAX20" s="8"/>
      <c r="AAY20" s="8"/>
      <c r="AAZ20" s="8"/>
      <c r="ABA20" s="8"/>
      <c r="ABB20" s="8"/>
      <c r="ABC20" s="8"/>
      <c r="ABD20" s="8"/>
      <c r="ABE20" s="8"/>
      <c r="ABF20" s="8"/>
      <c r="ABG20" s="8"/>
      <c r="ABH20" s="8"/>
      <c r="ABI20" s="8"/>
      <c r="ABJ20" s="8"/>
      <c r="ABK20" s="8"/>
      <c r="ABL20" s="8"/>
      <c r="ABM20" s="8"/>
      <c r="ABN20" s="8"/>
      <c r="ABO20" s="8"/>
      <c r="ABP20" s="8"/>
      <c r="ABQ20" s="8"/>
      <c r="ABR20" s="8"/>
      <c r="ABS20" s="8"/>
      <c r="ABT20" s="8"/>
      <c r="ABU20" s="8"/>
      <c r="ABV20" s="8"/>
      <c r="ABW20" s="8"/>
      <c r="ABX20" s="8"/>
      <c r="ABY20" s="8"/>
      <c r="ABZ20" s="8"/>
      <c r="ACA20" s="8"/>
      <c r="ACB20" s="8"/>
      <c r="ACC20" s="8"/>
      <c r="ACD20" s="8"/>
      <c r="ACE20" s="8"/>
      <c r="ACF20" s="8"/>
      <c r="ACG20" s="8"/>
      <c r="ACH20" s="8"/>
      <c r="ACI20" s="8"/>
      <c r="ACJ20" s="8"/>
      <c r="ACK20" s="8"/>
      <c r="ACL20" s="8"/>
      <c r="ACM20" s="8"/>
      <c r="ACN20" s="8"/>
      <c r="ACO20" s="8"/>
      <c r="ACP20" s="8"/>
      <c r="ACQ20" s="8"/>
      <c r="ACR20" s="8"/>
      <c r="ACS20" s="8"/>
      <c r="ACT20" s="8"/>
      <c r="ACU20" s="8"/>
      <c r="ACV20" s="8"/>
      <c r="ACW20" s="8"/>
      <c r="ACX20" s="8"/>
      <c r="ACY20" s="8"/>
      <c r="ACZ20" s="8"/>
      <c r="ADA20" s="8"/>
      <c r="ADB20" s="8"/>
      <c r="ADC20" s="8"/>
      <c r="ADD20" s="8"/>
      <c r="ADE20" s="8"/>
      <c r="ADF20" s="8"/>
      <c r="ADG20" s="8"/>
      <c r="ADH20" s="8"/>
      <c r="ADI20" s="8"/>
      <c r="ADJ20" s="8"/>
      <c r="ADK20" s="8"/>
      <c r="ADL20" s="8"/>
      <c r="ADM20" s="8"/>
      <c r="ADN20" s="8"/>
      <c r="ADO20" s="8"/>
      <c r="ADP20" s="8"/>
      <c r="ADQ20" s="8"/>
      <c r="ADR20" s="8"/>
      <c r="ADS20" s="8"/>
      <c r="ADT20" s="8"/>
      <c r="ADU20" s="8"/>
      <c r="ADV20" s="8"/>
      <c r="ADW20" s="8"/>
      <c r="ADX20" s="8"/>
      <c r="ADY20" s="8"/>
      <c r="ADZ20" s="8"/>
      <c r="AEA20" s="8"/>
      <c r="AEB20" s="8"/>
      <c r="AEC20" s="8"/>
      <c r="AED20" s="8"/>
      <c r="AEE20" s="8"/>
      <c r="AEF20" s="8"/>
      <c r="AEG20" s="8"/>
      <c r="AEH20" s="8"/>
      <c r="AEI20" s="8"/>
      <c r="AEJ20" s="8"/>
      <c r="AEK20" s="8"/>
      <c r="AEL20" s="8"/>
      <c r="AEM20" s="8"/>
      <c r="AEN20" s="8"/>
      <c r="AEO20" s="8"/>
      <c r="AEP20" s="8"/>
      <c r="AEQ20" s="8"/>
      <c r="AER20" s="8"/>
      <c r="AES20" s="8"/>
      <c r="AET20" s="8"/>
      <c r="AEU20" s="8"/>
      <c r="AEV20" s="8"/>
      <c r="AEW20" s="8"/>
      <c r="AEX20" s="8"/>
      <c r="AEY20" s="8"/>
      <c r="AEZ20" s="8"/>
      <c r="AFA20" s="8"/>
      <c r="AFB20" s="8"/>
      <c r="AFC20" s="8"/>
      <c r="AFD20" s="8"/>
      <c r="AFE20" s="8"/>
      <c r="AFF20" s="8"/>
      <c r="AFG20" s="8"/>
      <c r="AFH20" s="8"/>
      <c r="AFI20" s="8"/>
      <c r="AFJ20" s="8"/>
      <c r="AFK20" s="8"/>
      <c r="AFL20" s="8"/>
      <c r="AFM20" s="8"/>
      <c r="AFN20" s="8"/>
      <c r="AFO20" s="8"/>
      <c r="AFP20" s="8"/>
      <c r="AFQ20" s="8"/>
      <c r="AFR20" s="8"/>
      <c r="AFS20" s="8"/>
      <c r="AFT20" s="8"/>
      <c r="AFU20" s="8"/>
      <c r="AFV20" s="8"/>
      <c r="AFW20" s="8"/>
      <c r="AFX20" s="8"/>
      <c r="AFY20" s="8"/>
      <c r="AFZ20" s="8"/>
      <c r="AGA20" s="8"/>
      <c r="AGB20" s="8"/>
      <c r="AGC20" s="8"/>
      <c r="AGD20" s="8"/>
      <c r="AGE20" s="8"/>
      <c r="AGF20" s="8"/>
      <c r="AGG20" s="8"/>
      <c r="AGH20" s="8"/>
      <c r="AGI20" s="8"/>
      <c r="AGJ20" s="8"/>
      <c r="AGK20" s="8"/>
      <c r="AGL20" s="8"/>
      <c r="AGM20" s="8"/>
      <c r="AGN20" s="8"/>
      <c r="AGO20" s="8"/>
      <c r="AGP20" s="8"/>
      <c r="AGQ20" s="8"/>
      <c r="AGR20" s="8"/>
      <c r="AGS20" s="8"/>
      <c r="AGT20" s="8"/>
      <c r="AGU20" s="8"/>
      <c r="AGV20" s="8"/>
      <c r="AGW20" s="8"/>
      <c r="AGX20" s="8"/>
      <c r="AGY20" s="8"/>
      <c r="AGZ20" s="8"/>
      <c r="AHA20" s="8"/>
      <c r="AHB20" s="8"/>
      <c r="AHC20" s="8"/>
      <c r="AHD20" s="8"/>
      <c r="AHE20" s="8"/>
      <c r="AHF20" s="8"/>
      <c r="AHG20" s="8"/>
      <c r="AHH20" s="8"/>
      <c r="AHI20" s="8"/>
      <c r="AHJ20" s="8"/>
      <c r="AHK20" s="8"/>
      <c r="AHL20" s="8"/>
      <c r="AHM20" s="8"/>
      <c r="AHN20" s="8"/>
      <c r="AHO20" s="8"/>
      <c r="AHP20" s="8"/>
      <c r="AHQ20" s="8"/>
      <c r="AHR20" s="8"/>
      <c r="AHS20" s="8"/>
      <c r="AHT20" s="8"/>
      <c r="AHU20" s="8"/>
      <c r="AHV20" s="8"/>
      <c r="AHW20" s="8"/>
      <c r="AHX20" s="8"/>
      <c r="AHY20" s="8"/>
      <c r="AHZ20" s="8"/>
      <c r="AIA20" s="8"/>
      <c r="AIB20" s="8"/>
      <c r="AIC20" s="8"/>
      <c r="AID20" s="8"/>
      <c r="AIE20" s="8"/>
      <c r="AIF20" s="8"/>
      <c r="AIG20" s="8"/>
      <c r="AIH20" s="8"/>
      <c r="AII20" s="8"/>
      <c r="AIJ20" s="8"/>
      <c r="AIK20" s="8"/>
      <c r="AIL20" s="8"/>
      <c r="AIM20" s="8"/>
      <c r="AIN20" s="8"/>
      <c r="AIO20" s="8"/>
      <c r="AIP20" s="8"/>
      <c r="AIQ20" s="8"/>
      <c r="AIR20" s="8"/>
      <c r="AIS20" s="8"/>
      <c r="AIT20" s="8"/>
      <c r="AIU20" s="8"/>
      <c r="AIV20" s="8"/>
      <c r="AIW20" s="8"/>
      <c r="AIX20" s="8"/>
      <c r="AIY20" s="8"/>
      <c r="AIZ20" s="8"/>
      <c r="AJA20" s="8"/>
      <c r="AJB20" s="8"/>
      <c r="AJC20" s="8"/>
      <c r="AJD20" s="8"/>
      <c r="AJE20" s="8"/>
      <c r="AJF20" s="8"/>
      <c r="AJG20" s="8"/>
      <c r="AJH20" s="8"/>
      <c r="AJI20" s="8"/>
      <c r="AJJ20" s="8"/>
      <c r="AJK20" s="8"/>
      <c r="AJL20" s="8"/>
      <c r="AJM20" s="8"/>
      <c r="AJN20" s="8"/>
      <c r="AJO20" s="8"/>
      <c r="AJP20" s="8"/>
      <c r="AJQ20" s="8"/>
      <c r="AJR20" s="8"/>
      <c r="AJS20" s="8"/>
      <c r="AJT20" s="8"/>
      <c r="AJU20" s="8"/>
      <c r="AJV20" s="8"/>
      <c r="AJW20" s="8"/>
      <c r="AJX20" s="8"/>
      <c r="AJY20" s="8"/>
      <c r="AJZ20" s="8"/>
      <c r="AKA20" s="8"/>
      <c r="AKB20" s="8"/>
      <c r="AKC20" s="8"/>
      <c r="AKD20" s="8"/>
      <c r="AKE20" s="8"/>
      <c r="AKF20" s="8"/>
      <c r="AKG20" s="8"/>
      <c r="AKH20" s="8"/>
      <c r="AKI20" s="8"/>
      <c r="AKJ20" s="8"/>
      <c r="AKK20" s="8"/>
      <c r="AKL20" s="8"/>
      <c r="AKM20" s="8"/>
      <c r="AKN20" s="8"/>
      <c r="AKO20" s="8"/>
      <c r="AKP20" s="8"/>
      <c r="AKQ20" s="8"/>
      <c r="AKR20" s="8"/>
      <c r="AKS20" s="8"/>
      <c r="AKT20" s="8"/>
      <c r="AKU20" s="8"/>
      <c r="AKV20" s="8"/>
      <c r="AKW20" s="8"/>
      <c r="AKX20" s="8"/>
      <c r="AKY20" s="8"/>
      <c r="AKZ20" s="8"/>
      <c r="ALA20" s="8"/>
      <c r="ALB20" s="8"/>
      <c r="ALC20" s="8"/>
      <c r="ALD20" s="8"/>
      <c r="ALE20" s="8"/>
      <c r="ALF20" s="8"/>
      <c r="ALG20" s="8"/>
      <c r="ALH20" s="8"/>
      <c r="ALI20" s="8"/>
      <c r="ALJ20" s="8"/>
      <c r="ALK20" s="8"/>
      <c r="ALL20" s="8"/>
    </row>
    <row r="21" spans="1:1000" x14ac:dyDescent="0.25">
      <c r="A21" t="str">
        <f ca="1">IF(_xll.TM1RPTELISCONSOLIDATED($C$19,$C21),IF(_xll.TM1RPTELLEV($C$19,$C21)&lt;=3,_xll.TM1RPTELLEV($C$19,$C21),"D"),IF($F$13="Units Sold","D","N"))</f>
        <v>N</v>
      </c>
      <c r="C21" s="89" t="s">
        <v>77</v>
      </c>
      <c r="D21" s="44" t="str">
        <f ca="1">_xll.DBRW($C$9,$C$13,$D$13,$C21,D$18,$H$13,$J$13,$F$13)</f>
        <v/>
      </c>
      <c r="E21" s="44" t="str">
        <f ca="1">_xll.DBRW($C$9,$C$13,$D$13,$C21,E$18,$H$13,$J$13,$F$13)</f>
        <v/>
      </c>
      <c r="F21" s="44" t="str">
        <f ca="1">_xll.DBRW($C$9,$C$13,$D$13,$C21,F$18,$H$13,$J$13,$F$13)</f>
        <v/>
      </c>
      <c r="G21" s="44" t="str">
        <f ca="1">_xll.DBRW($C$9,$C$13,$D$13,$C21,G$18,$H$13,$J$13,$F$13)</f>
        <v/>
      </c>
      <c r="H21" s="44" t="str">
        <f ca="1">_xll.DBRW($C$9,$C$13,$D$13,$C21,H$18,$H$13,$J$13,$F$13)</f>
        <v/>
      </c>
      <c r="I21" s="44" t="str">
        <f ca="1">_xll.DBRW($C$9,$C$13,$D$13,$C21,I$18,$H$13,$J$13,$F$13)</f>
        <v/>
      </c>
      <c r="J21" s="44" t="str">
        <f ca="1">_xll.DBRW($C$9,$C$13,$D$13,$C21,J$18,$H$13,$J$13,$F$13)</f>
        <v/>
      </c>
      <c r="K21" s="44" t="str">
        <f ca="1">_xll.DBRW($C$9,$C$13,$D$13,$C21,K$18,$H$13,$J$13,$F$13)</f>
        <v/>
      </c>
      <c r="L21" s="44" t="str">
        <f ca="1">_xll.DBRW($C$9,$C$13,$D$13,$C21,L$18,$H$13,$J$13,$F$13)</f>
        <v/>
      </c>
      <c r="M21" s="44" t="str">
        <f ca="1">_xll.DBRW($C$9,$C$13,$D$13,$C21,M$18,$H$13,$J$13,$F$13)</f>
        <v/>
      </c>
      <c r="N21" s="44" t="str">
        <f ca="1">_xll.DBRW($C$9,$C$13,$D$13,$C21,N$18,$H$13,$J$13,$F$13)</f>
        <v/>
      </c>
      <c r="O21" s="44" t="str">
        <f ca="1">_xll.DBRW($C$9,$C$13,$D$13,$C21,O$18,$H$13,$J$13,$F$13)</f>
        <v/>
      </c>
      <c r="P21" s="44" t="str">
        <f ca="1">_xll.DBRW($C$9,$C$13,$D$13,$C21,P$18,$H$13,$J$13,$F$13)</f>
        <v/>
      </c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  <c r="AAA21" s="8"/>
      <c r="AAB21" s="8"/>
      <c r="AAC21" s="8"/>
      <c r="AAD21" s="8"/>
      <c r="AAE21" s="8"/>
      <c r="AAF21" s="8"/>
      <c r="AAG21" s="8"/>
      <c r="AAH21" s="8"/>
      <c r="AAI21" s="8"/>
      <c r="AAJ21" s="8"/>
      <c r="AAK21" s="8"/>
      <c r="AAL21" s="8"/>
      <c r="AAM21" s="8"/>
      <c r="AAN21" s="8"/>
      <c r="AAO21" s="8"/>
      <c r="AAP21" s="8"/>
      <c r="AAQ21" s="8"/>
      <c r="AAR21" s="8"/>
      <c r="AAS21" s="8"/>
      <c r="AAT21" s="8"/>
      <c r="AAU21" s="8"/>
      <c r="AAV21" s="8"/>
      <c r="AAW21" s="8"/>
      <c r="AAX21" s="8"/>
      <c r="AAY21" s="8"/>
      <c r="AAZ21" s="8"/>
      <c r="ABA21" s="8"/>
      <c r="ABB21" s="8"/>
      <c r="ABC21" s="8"/>
      <c r="ABD21" s="8"/>
      <c r="ABE21" s="8"/>
      <c r="ABF21" s="8"/>
      <c r="ABG21" s="8"/>
      <c r="ABH21" s="8"/>
      <c r="ABI21" s="8"/>
      <c r="ABJ21" s="8"/>
      <c r="ABK21" s="8"/>
      <c r="ABL21" s="8"/>
      <c r="ABM21" s="8"/>
      <c r="ABN21" s="8"/>
      <c r="ABO21" s="8"/>
      <c r="ABP21" s="8"/>
      <c r="ABQ21" s="8"/>
      <c r="ABR21" s="8"/>
      <c r="ABS21" s="8"/>
      <c r="ABT21" s="8"/>
      <c r="ABU21" s="8"/>
      <c r="ABV21" s="8"/>
      <c r="ABW21" s="8"/>
      <c r="ABX21" s="8"/>
      <c r="ABY21" s="8"/>
      <c r="ABZ21" s="8"/>
      <c r="ACA21" s="8"/>
      <c r="ACB21" s="8"/>
      <c r="ACC21" s="8"/>
      <c r="ACD21" s="8"/>
      <c r="ACE21" s="8"/>
      <c r="ACF21" s="8"/>
      <c r="ACG21" s="8"/>
      <c r="ACH21" s="8"/>
      <c r="ACI21" s="8"/>
      <c r="ACJ21" s="8"/>
      <c r="ACK21" s="8"/>
      <c r="ACL21" s="8"/>
      <c r="ACM21" s="8"/>
      <c r="ACN21" s="8"/>
      <c r="ACO21" s="8"/>
      <c r="ACP21" s="8"/>
      <c r="ACQ21" s="8"/>
      <c r="ACR21" s="8"/>
      <c r="ACS21" s="8"/>
      <c r="ACT21" s="8"/>
      <c r="ACU21" s="8"/>
      <c r="ACV21" s="8"/>
      <c r="ACW21" s="8"/>
      <c r="ACX21" s="8"/>
      <c r="ACY21" s="8"/>
      <c r="ACZ21" s="8"/>
      <c r="ADA21" s="8"/>
      <c r="ADB21" s="8"/>
      <c r="ADC21" s="8"/>
      <c r="ADD21" s="8"/>
      <c r="ADE21" s="8"/>
      <c r="ADF21" s="8"/>
      <c r="ADG21" s="8"/>
      <c r="ADH21" s="8"/>
      <c r="ADI21" s="8"/>
      <c r="ADJ21" s="8"/>
      <c r="ADK21" s="8"/>
      <c r="ADL21" s="8"/>
      <c r="ADM21" s="8"/>
      <c r="ADN21" s="8"/>
      <c r="ADO21" s="8"/>
      <c r="ADP21" s="8"/>
      <c r="ADQ21" s="8"/>
      <c r="ADR21" s="8"/>
      <c r="ADS21" s="8"/>
      <c r="ADT21" s="8"/>
      <c r="ADU21" s="8"/>
      <c r="ADV21" s="8"/>
      <c r="ADW21" s="8"/>
      <c r="ADX21" s="8"/>
      <c r="ADY21" s="8"/>
      <c r="ADZ21" s="8"/>
      <c r="AEA21" s="8"/>
      <c r="AEB21" s="8"/>
      <c r="AEC21" s="8"/>
      <c r="AED21" s="8"/>
      <c r="AEE21" s="8"/>
      <c r="AEF21" s="8"/>
      <c r="AEG21" s="8"/>
      <c r="AEH21" s="8"/>
      <c r="AEI21" s="8"/>
      <c r="AEJ21" s="8"/>
      <c r="AEK21" s="8"/>
      <c r="AEL21" s="8"/>
      <c r="AEM21" s="8"/>
      <c r="AEN21" s="8"/>
      <c r="AEO21" s="8"/>
      <c r="AEP21" s="8"/>
      <c r="AEQ21" s="8"/>
      <c r="AER21" s="8"/>
      <c r="AES21" s="8"/>
      <c r="AET21" s="8"/>
      <c r="AEU21" s="8"/>
      <c r="AEV21" s="8"/>
      <c r="AEW21" s="8"/>
      <c r="AEX21" s="8"/>
      <c r="AEY21" s="8"/>
      <c r="AEZ21" s="8"/>
      <c r="AFA21" s="8"/>
      <c r="AFB21" s="8"/>
      <c r="AFC21" s="8"/>
      <c r="AFD21" s="8"/>
      <c r="AFE21" s="8"/>
      <c r="AFF21" s="8"/>
      <c r="AFG21" s="8"/>
      <c r="AFH21" s="8"/>
      <c r="AFI21" s="8"/>
      <c r="AFJ21" s="8"/>
      <c r="AFK21" s="8"/>
      <c r="AFL21" s="8"/>
      <c r="AFM21" s="8"/>
      <c r="AFN21" s="8"/>
      <c r="AFO21" s="8"/>
      <c r="AFP21" s="8"/>
      <c r="AFQ21" s="8"/>
      <c r="AFR21" s="8"/>
      <c r="AFS21" s="8"/>
      <c r="AFT21" s="8"/>
      <c r="AFU21" s="8"/>
      <c r="AFV21" s="8"/>
      <c r="AFW21" s="8"/>
      <c r="AFX21" s="8"/>
      <c r="AFY21" s="8"/>
      <c r="AFZ21" s="8"/>
      <c r="AGA21" s="8"/>
      <c r="AGB21" s="8"/>
      <c r="AGC21" s="8"/>
      <c r="AGD21" s="8"/>
      <c r="AGE21" s="8"/>
      <c r="AGF21" s="8"/>
      <c r="AGG21" s="8"/>
      <c r="AGH21" s="8"/>
      <c r="AGI21" s="8"/>
      <c r="AGJ21" s="8"/>
      <c r="AGK21" s="8"/>
      <c r="AGL21" s="8"/>
      <c r="AGM21" s="8"/>
      <c r="AGN21" s="8"/>
      <c r="AGO21" s="8"/>
      <c r="AGP21" s="8"/>
      <c r="AGQ21" s="8"/>
      <c r="AGR21" s="8"/>
      <c r="AGS21" s="8"/>
      <c r="AGT21" s="8"/>
      <c r="AGU21" s="8"/>
      <c r="AGV21" s="8"/>
      <c r="AGW21" s="8"/>
      <c r="AGX21" s="8"/>
      <c r="AGY21" s="8"/>
      <c r="AGZ21" s="8"/>
      <c r="AHA21" s="8"/>
      <c r="AHB21" s="8"/>
      <c r="AHC21" s="8"/>
      <c r="AHD21" s="8"/>
      <c r="AHE21" s="8"/>
      <c r="AHF21" s="8"/>
      <c r="AHG21" s="8"/>
      <c r="AHH21" s="8"/>
      <c r="AHI21" s="8"/>
      <c r="AHJ21" s="8"/>
      <c r="AHK21" s="8"/>
      <c r="AHL21" s="8"/>
      <c r="AHM21" s="8"/>
      <c r="AHN21" s="8"/>
      <c r="AHO21" s="8"/>
      <c r="AHP21" s="8"/>
      <c r="AHQ21" s="8"/>
      <c r="AHR21" s="8"/>
      <c r="AHS21" s="8"/>
      <c r="AHT21" s="8"/>
      <c r="AHU21" s="8"/>
      <c r="AHV21" s="8"/>
      <c r="AHW21" s="8"/>
      <c r="AHX21" s="8"/>
      <c r="AHY21" s="8"/>
      <c r="AHZ21" s="8"/>
      <c r="AIA21" s="8"/>
      <c r="AIB21" s="8"/>
      <c r="AIC21" s="8"/>
      <c r="AID21" s="8"/>
      <c r="AIE21" s="8"/>
      <c r="AIF21" s="8"/>
      <c r="AIG21" s="8"/>
      <c r="AIH21" s="8"/>
      <c r="AII21" s="8"/>
      <c r="AIJ21" s="8"/>
      <c r="AIK21" s="8"/>
      <c r="AIL21" s="8"/>
      <c r="AIM21" s="8"/>
      <c r="AIN21" s="8"/>
      <c r="AIO21" s="8"/>
      <c r="AIP21" s="8"/>
      <c r="AIQ21" s="8"/>
      <c r="AIR21" s="8"/>
      <c r="AIS21" s="8"/>
      <c r="AIT21" s="8"/>
      <c r="AIU21" s="8"/>
      <c r="AIV21" s="8"/>
      <c r="AIW21" s="8"/>
      <c r="AIX21" s="8"/>
      <c r="AIY21" s="8"/>
      <c r="AIZ21" s="8"/>
      <c r="AJA21" s="8"/>
      <c r="AJB21" s="8"/>
      <c r="AJC21" s="8"/>
      <c r="AJD21" s="8"/>
      <c r="AJE21" s="8"/>
      <c r="AJF21" s="8"/>
      <c r="AJG21" s="8"/>
      <c r="AJH21" s="8"/>
      <c r="AJI21" s="8"/>
      <c r="AJJ21" s="8"/>
      <c r="AJK21" s="8"/>
      <c r="AJL21" s="8"/>
      <c r="AJM21" s="8"/>
      <c r="AJN21" s="8"/>
      <c r="AJO21" s="8"/>
      <c r="AJP21" s="8"/>
      <c r="AJQ21" s="8"/>
      <c r="AJR21" s="8"/>
      <c r="AJS21" s="8"/>
      <c r="AJT21" s="8"/>
      <c r="AJU21" s="8"/>
      <c r="AJV21" s="8"/>
      <c r="AJW21" s="8"/>
      <c r="AJX21" s="8"/>
      <c r="AJY21" s="8"/>
      <c r="AJZ21" s="8"/>
      <c r="AKA21" s="8"/>
      <c r="AKB21" s="8"/>
      <c r="AKC21" s="8"/>
      <c r="AKD21" s="8"/>
      <c r="AKE21" s="8"/>
      <c r="AKF21" s="8"/>
      <c r="AKG21" s="8"/>
      <c r="AKH21" s="8"/>
      <c r="AKI21" s="8"/>
      <c r="AKJ21" s="8"/>
      <c r="AKK21" s="8"/>
      <c r="AKL21" s="8"/>
      <c r="AKM21" s="8"/>
      <c r="AKN21" s="8"/>
      <c r="AKO21" s="8"/>
      <c r="AKP21" s="8"/>
      <c r="AKQ21" s="8"/>
      <c r="AKR21" s="8"/>
      <c r="AKS21" s="8"/>
      <c r="AKT21" s="8"/>
      <c r="AKU21" s="8"/>
      <c r="AKV21" s="8"/>
      <c r="AKW21" s="8"/>
      <c r="AKX21" s="8"/>
      <c r="AKY21" s="8"/>
      <c r="AKZ21" s="8"/>
      <c r="ALA21" s="8"/>
      <c r="ALB21" s="8"/>
      <c r="ALC21" s="8"/>
      <c r="ALD21" s="8"/>
      <c r="ALE21" s="8"/>
      <c r="ALF21" s="8"/>
      <c r="ALG21" s="8"/>
      <c r="ALH21" s="8"/>
      <c r="ALI21" s="8"/>
      <c r="ALJ21" s="8"/>
      <c r="ALK21" s="8"/>
      <c r="ALL21" s="8"/>
    </row>
    <row r="22" spans="1:1000" x14ac:dyDescent="0.25">
      <c r="A22" t="str">
        <f ca="1">IF(_xll.TM1RPTELISCONSOLIDATED($C$19,$C22),IF(_xll.TM1RPTELLEV($C$19,$C22)&lt;=3,_xll.TM1RPTELLEV($C$19,$C22),"D"),IF($F$13="Units Sold","D","N"))</f>
        <v>N</v>
      </c>
      <c r="C22" s="89" t="s">
        <v>78</v>
      </c>
      <c r="D22" s="44" t="str">
        <f ca="1">_xll.DBRW($C$9,$C$13,$D$13,$C22,D$18,$H$13,$J$13,$F$13)</f>
        <v/>
      </c>
      <c r="E22" s="44" t="str">
        <f ca="1">_xll.DBRW($C$9,$C$13,$D$13,$C22,E$18,$H$13,$J$13,$F$13)</f>
        <v/>
      </c>
      <c r="F22" s="44" t="str">
        <f ca="1">_xll.DBRW($C$9,$C$13,$D$13,$C22,F$18,$H$13,$J$13,$F$13)</f>
        <v/>
      </c>
      <c r="G22" s="44" t="str">
        <f ca="1">_xll.DBRW($C$9,$C$13,$D$13,$C22,G$18,$H$13,$J$13,$F$13)</f>
        <v/>
      </c>
      <c r="H22" s="44" t="str">
        <f ca="1">_xll.DBRW($C$9,$C$13,$D$13,$C22,H$18,$H$13,$J$13,$F$13)</f>
        <v/>
      </c>
      <c r="I22" s="44" t="str">
        <f ca="1">_xll.DBRW($C$9,$C$13,$D$13,$C22,I$18,$H$13,$J$13,$F$13)</f>
        <v/>
      </c>
      <c r="J22" s="44" t="str">
        <f ca="1">_xll.DBRW($C$9,$C$13,$D$13,$C22,J$18,$H$13,$J$13,$F$13)</f>
        <v/>
      </c>
      <c r="K22" s="44" t="str">
        <f ca="1">_xll.DBRW($C$9,$C$13,$D$13,$C22,K$18,$H$13,$J$13,$F$13)</f>
        <v/>
      </c>
      <c r="L22" s="44" t="str">
        <f ca="1">_xll.DBRW($C$9,$C$13,$D$13,$C22,L$18,$H$13,$J$13,$F$13)</f>
        <v/>
      </c>
      <c r="M22" s="44" t="str">
        <f ca="1">_xll.DBRW($C$9,$C$13,$D$13,$C22,M$18,$H$13,$J$13,$F$13)</f>
        <v/>
      </c>
      <c r="N22" s="44" t="str">
        <f ca="1">_xll.DBRW($C$9,$C$13,$D$13,$C22,N$18,$H$13,$J$13,$F$13)</f>
        <v/>
      </c>
      <c r="O22" s="44" t="str">
        <f ca="1">_xll.DBRW($C$9,$C$13,$D$13,$C22,O$18,$H$13,$J$13,$F$13)</f>
        <v/>
      </c>
      <c r="P22" s="44" t="str">
        <f ca="1">_xll.DBRW($C$9,$C$13,$D$13,$C22,P$18,$H$13,$J$13,$F$13)</f>
        <v/>
      </c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  <c r="AAA22" s="8"/>
      <c r="AAB22" s="8"/>
      <c r="AAC22" s="8"/>
      <c r="AAD22" s="8"/>
      <c r="AAE22" s="8"/>
      <c r="AAF22" s="8"/>
      <c r="AAG22" s="8"/>
      <c r="AAH22" s="8"/>
      <c r="AAI22" s="8"/>
      <c r="AAJ22" s="8"/>
      <c r="AAK22" s="8"/>
      <c r="AAL22" s="8"/>
      <c r="AAM22" s="8"/>
      <c r="AAN22" s="8"/>
      <c r="AAO22" s="8"/>
      <c r="AAP22" s="8"/>
      <c r="AAQ22" s="8"/>
      <c r="AAR22" s="8"/>
      <c r="AAS22" s="8"/>
      <c r="AAT22" s="8"/>
      <c r="AAU22" s="8"/>
      <c r="AAV22" s="8"/>
      <c r="AAW22" s="8"/>
      <c r="AAX22" s="8"/>
      <c r="AAY22" s="8"/>
      <c r="AAZ22" s="8"/>
      <c r="ABA22" s="8"/>
      <c r="ABB22" s="8"/>
      <c r="ABC22" s="8"/>
      <c r="ABD22" s="8"/>
      <c r="ABE22" s="8"/>
      <c r="ABF22" s="8"/>
      <c r="ABG22" s="8"/>
      <c r="ABH22" s="8"/>
      <c r="ABI22" s="8"/>
      <c r="ABJ22" s="8"/>
      <c r="ABK22" s="8"/>
      <c r="ABL22" s="8"/>
      <c r="ABM22" s="8"/>
      <c r="ABN22" s="8"/>
      <c r="ABO22" s="8"/>
      <c r="ABP22" s="8"/>
      <c r="ABQ22" s="8"/>
      <c r="ABR22" s="8"/>
      <c r="ABS22" s="8"/>
      <c r="ABT22" s="8"/>
      <c r="ABU22" s="8"/>
      <c r="ABV22" s="8"/>
      <c r="ABW22" s="8"/>
      <c r="ABX22" s="8"/>
      <c r="ABY22" s="8"/>
      <c r="ABZ22" s="8"/>
      <c r="ACA22" s="8"/>
      <c r="ACB22" s="8"/>
      <c r="ACC22" s="8"/>
      <c r="ACD22" s="8"/>
      <c r="ACE22" s="8"/>
      <c r="ACF22" s="8"/>
      <c r="ACG22" s="8"/>
      <c r="ACH22" s="8"/>
      <c r="ACI22" s="8"/>
      <c r="ACJ22" s="8"/>
      <c r="ACK22" s="8"/>
      <c r="ACL22" s="8"/>
      <c r="ACM22" s="8"/>
      <c r="ACN22" s="8"/>
      <c r="ACO22" s="8"/>
      <c r="ACP22" s="8"/>
      <c r="ACQ22" s="8"/>
      <c r="ACR22" s="8"/>
      <c r="ACS22" s="8"/>
      <c r="ACT22" s="8"/>
      <c r="ACU22" s="8"/>
      <c r="ACV22" s="8"/>
      <c r="ACW22" s="8"/>
      <c r="ACX22" s="8"/>
      <c r="ACY22" s="8"/>
      <c r="ACZ22" s="8"/>
      <c r="ADA22" s="8"/>
      <c r="ADB22" s="8"/>
      <c r="ADC22" s="8"/>
      <c r="ADD22" s="8"/>
      <c r="ADE22" s="8"/>
      <c r="ADF22" s="8"/>
      <c r="ADG22" s="8"/>
      <c r="ADH22" s="8"/>
      <c r="ADI22" s="8"/>
      <c r="ADJ22" s="8"/>
      <c r="ADK22" s="8"/>
      <c r="ADL22" s="8"/>
      <c r="ADM22" s="8"/>
      <c r="ADN22" s="8"/>
      <c r="ADO22" s="8"/>
      <c r="ADP22" s="8"/>
      <c r="ADQ22" s="8"/>
      <c r="ADR22" s="8"/>
      <c r="ADS22" s="8"/>
      <c r="ADT22" s="8"/>
      <c r="ADU22" s="8"/>
      <c r="ADV22" s="8"/>
      <c r="ADW22" s="8"/>
      <c r="ADX22" s="8"/>
      <c r="ADY22" s="8"/>
      <c r="ADZ22" s="8"/>
      <c r="AEA22" s="8"/>
      <c r="AEB22" s="8"/>
      <c r="AEC22" s="8"/>
      <c r="AED22" s="8"/>
      <c r="AEE22" s="8"/>
      <c r="AEF22" s="8"/>
      <c r="AEG22" s="8"/>
      <c r="AEH22" s="8"/>
      <c r="AEI22" s="8"/>
      <c r="AEJ22" s="8"/>
      <c r="AEK22" s="8"/>
      <c r="AEL22" s="8"/>
      <c r="AEM22" s="8"/>
      <c r="AEN22" s="8"/>
      <c r="AEO22" s="8"/>
      <c r="AEP22" s="8"/>
      <c r="AEQ22" s="8"/>
      <c r="AER22" s="8"/>
      <c r="AES22" s="8"/>
      <c r="AET22" s="8"/>
      <c r="AEU22" s="8"/>
      <c r="AEV22" s="8"/>
      <c r="AEW22" s="8"/>
      <c r="AEX22" s="8"/>
      <c r="AEY22" s="8"/>
      <c r="AEZ22" s="8"/>
      <c r="AFA22" s="8"/>
      <c r="AFB22" s="8"/>
      <c r="AFC22" s="8"/>
      <c r="AFD22" s="8"/>
      <c r="AFE22" s="8"/>
      <c r="AFF22" s="8"/>
      <c r="AFG22" s="8"/>
      <c r="AFH22" s="8"/>
      <c r="AFI22" s="8"/>
      <c r="AFJ22" s="8"/>
      <c r="AFK22" s="8"/>
      <c r="AFL22" s="8"/>
      <c r="AFM22" s="8"/>
      <c r="AFN22" s="8"/>
      <c r="AFO22" s="8"/>
      <c r="AFP22" s="8"/>
      <c r="AFQ22" s="8"/>
      <c r="AFR22" s="8"/>
      <c r="AFS22" s="8"/>
      <c r="AFT22" s="8"/>
      <c r="AFU22" s="8"/>
      <c r="AFV22" s="8"/>
      <c r="AFW22" s="8"/>
      <c r="AFX22" s="8"/>
      <c r="AFY22" s="8"/>
      <c r="AFZ22" s="8"/>
      <c r="AGA22" s="8"/>
      <c r="AGB22" s="8"/>
      <c r="AGC22" s="8"/>
      <c r="AGD22" s="8"/>
      <c r="AGE22" s="8"/>
      <c r="AGF22" s="8"/>
      <c r="AGG22" s="8"/>
      <c r="AGH22" s="8"/>
      <c r="AGI22" s="8"/>
      <c r="AGJ22" s="8"/>
      <c r="AGK22" s="8"/>
      <c r="AGL22" s="8"/>
      <c r="AGM22" s="8"/>
      <c r="AGN22" s="8"/>
      <c r="AGO22" s="8"/>
      <c r="AGP22" s="8"/>
      <c r="AGQ22" s="8"/>
      <c r="AGR22" s="8"/>
      <c r="AGS22" s="8"/>
      <c r="AGT22" s="8"/>
      <c r="AGU22" s="8"/>
      <c r="AGV22" s="8"/>
      <c r="AGW22" s="8"/>
      <c r="AGX22" s="8"/>
      <c r="AGY22" s="8"/>
      <c r="AGZ22" s="8"/>
      <c r="AHA22" s="8"/>
      <c r="AHB22" s="8"/>
      <c r="AHC22" s="8"/>
      <c r="AHD22" s="8"/>
      <c r="AHE22" s="8"/>
      <c r="AHF22" s="8"/>
      <c r="AHG22" s="8"/>
      <c r="AHH22" s="8"/>
      <c r="AHI22" s="8"/>
      <c r="AHJ22" s="8"/>
      <c r="AHK22" s="8"/>
      <c r="AHL22" s="8"/>
      <c r="AHM22" s="8"/>
      <c r="AHN22" s="8"/>
      <c r="AHO22" s="8"/>
      <c r="AHP22" s="8"/>
      <c r="AHQ22" s="8"/>
      <c r="AHR22" s="8"/>
      <c r="AHS22" s="8"/>
      <c r="AHT22" s="8"/>
      <c r="AHU22" s="8"/>
      <c r="AHV22" s="8"/>
      <c r="AHW22" s="8"/>
      <c r="AHX22" s="8"/>
      <c r="AHY22" s="8"/>
      <c r="AHZ22" s="8"/>
      <c r="AIA22" s="8"/>
      <c r="AIB22" s="8"/>
      <c r="AIC22" s="8"/>
      <c r="AID22" s="8"/>
      <c r="AIE22" s="8"/>
      <c r="AIF22" s="8"/>
      <c r="AIG22" s="8"/>
      <c r="AIH22" s="8"/>
      <c r="AII22" s="8"/>
      <c r="AIJ22" s="8"/>
      <c r="AIK22" s="8"/>
      <c r="AIL22" s="8"/>
      <c r="AIM22" s="8"/>
      <c r="AIN22" s="8"/>
      <c r="AIO22" s="8"/>
      <c r="AIP22" s="8"/>
      <c r="AIQ22" s="8"/>
      <c r="AIR22" s="8"/>
      <c r="AIS22" s="8"/>
      <c r="AIT22" s="8"/>
      <c r="AIU22" s="8"/>
      <c r="AIV22" s="8"/>
      <c r="AIW22" s="8"/>
      <c r="AIX22" s="8"/>
      <c r="AIY22" s="8"/>
      <c r="AIZ22" s="8"/>
      <c r="AJA22" s="8"/>
      <c r="AJB22" s="8"/>
      <c r="AJC22" s="8"/>
      <c r="AJD22" s="8"/>
      <c r="AJE22" s="8"/>
      <c r="AJF22" s="8"/>
      <c r="AJG22" s="8"/>
      <c r="AJH22" s="8"/>
      <c r="AJI22" s="8"/>
      <c r="AJJ22" s="8"/>
      <c r="AJK22" s="8"/>
      <c r="AJL22" s="8"/>
      <c r="AJM22" s="8"/>
      <c r="AJN22" s="8"/>
      <c r="AJO22" s="8"/>
      <c r="AJP22" s="8"/>
      <c r="AJQ22" s="8"/>
      <c r="AJR22" s="8"/>
      <c r="AJS22" s="8"/>
      <c r="AJT22" s="8"/>
      <c r="AJU22" s="8"/>
      <c r="AJV22" s="8"/>
      <c r="AJW22" s="8"/>
      <c r="AJX22" s="8"/>
      <c r="AJY22" s="8"/>
      <c r="AJZ22" s="8"/>
      <c r="AKA22" s="8"/>
      <c r="AKB22" s="8"/>
      <c r="AKC22" s="8"/>
      <c r="AKD22" s="8"/>
      <c r="AKE22" s="8"/>
      <c r="AKF22" s="8"/>
      <c r="AKG22" s="8"/>
      <c r="AKH22" s="8"/>
      <c r="AKI22" s="8"/>
      <c r="AKJ22" s="8"/>
      <c r="AKK22" s="8"/>
      <c r="AKL22" s="8"/>
      <c r="AKM22" s="8"/>
      <c r="AKN22" s="8"/>
      <c r="AKO22" s="8"/>
      <c r="AKP22" s="8"/>
      <c r="AKQ22" s="8"/>
      <c r="AKR22" s="8"/>
      <c r="AKS22" s="8"/>
      <c r="AKT22" s="8"/>
      <c r="AKU22" s="8"/>
      <c r="AKV22" s="8"/>
      <c r="AKW22" s="8"/>
      <c r="AKX22" s="8"/>
      <c r="AKY22" s="8"/>
      <c r="AKZ22" s="8"/>
      <c r="ALA22" s="8"/>
      <c r="ALB22" s="8"/>
      <c r="ALC22" s="8"/>
      <c r="ALD22" s="8"/>
      <c r="ALE22" s="8"/>
      <c r="ALF22" s="8"/>
      <c r="ALG22" s="8"/>
      <c r="ALH22" s="8"/>
      <c r="ALI22" s="8"/>
      <c r="ALJ22" s="8"/>
      <c r="ALK22" s="8"/>
      <c r="ALL22" s="8"/>
    </row>
    <row r="23" spans="1:1000" x14ac:dyDescent="0.25">
      <c r="A23" t="str">
        <f ca="1">IF(_xll.TM1RPTELISCONSOLIDATED($C$19,$C23),IF(_xll.TM1RPTELLEV($C$19,$C23)&lt;=3,_xll.TM1RPTELLEV($C$19,$C23),"D"),IF($F$13="Units Sold","D","N"))</f>
        <v>N</v>
      </c>
      <c r="C23" s="89" t="s">
        <v>79</v>
      </c>
      <c r="D23" s="44" t="str">
        <f ca="1">_xll.DBRW($C$9,$C$13,$D$13,$C23,D$18,$H$13,$J$13,$F$13)</f>
        <v/>
      </c>
      <c r="E23" s="44" t="str">
        <f ca="1">_xll.DBRW($C$9,$C$13,$D$13,$C23,E$18,$H$13,$J$13,$F$13)</f>
        <v/>
      </c>
      <c r="F23" s="44" t="str">
        <f ca="1">_xll.DBRW($C$9,$C$13,$D$13,$C23,F$18,$H$13,$J$13,$F$13)</f>
        <v/>
      </c>
      <c r="G23" s="44" t="str">
        <f ca="1">_xll.DBRW($C$9,$C$13,$D$13,$C23,G$18,$H$13,$J$13,$F$13)</f>
        <v/>
      </c>
      <c r="H23" s="44" t="str">
        <f ca="1">_xll.DBRW($C$9,$C$13,$D$13,$C23,H$18,$H$13,$J$13,$F$13)</f>
        <v/>
      </c>
      <c r="I23" s="44" t="str">
        <f ca="1">_xll.DBRW($C$9,$C$13,$D$13,$C23,I$18,$H$13,$J$13,$F$13)</f>
        <v/>
      </c>
      <c r="J23" s="44" t="str">
        <f ca="1">_xll.DBRW($C$9,$C$13,$D$13,$C23,J$18,$H$13,$J$13,$F$13)</f>
        <v/>
      </c>
      <c r="K23" s="44" t="str">
        <f ca="1">_xll.DBRW($C$9,$C$13,$D$13,$C23,K$18,$H$13,$J$13,$F$13)</f>
        <v/>
      </c>
      <c r="L23" s="44" t="str">
        <f ca="1">_xll.DBRW($C$9,$C$13,$D$13,$C23,L$18,$H$13,$J$13,$F$13)</f>
        <v/>
      </c>
      <c r="M23" s="44" t="str">
        <f ca="1">_xll.DBRW($C$9,$C$13,$D$13,$C23,M$18,$H$13,$J$13,$F$13)</f>
        <v/>
      </c>
      <c r="N23" s="44" t="str">
        <f ca="1">_xll.DBRW($C$9,$C$13,$D$13,$C23,N$18,$H$13,$J$13,$F$13)</f>
        <v/>
      </c>
      <c r="O23" s="44" t="str">
        <f ca="1">_xll.DBRW($C$9,$C$13,$D$13,$C23,O$18,$H$13,$J$13,$F$13)</f>
        <v/>
      </c>
      <c r="P23" s="44" t="str">
        <f ca="1">_xll.DBRW($C$9,$C$13,$D$13,$C23,P$18,$H$13,$J$13,$F$13)</f>
        <v/>
      </c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  <c r="AAA23" s="8"/>
      <c r="AAB23" s="8"/>
      <c r="AAC23" s="8"/>
      <c r="AAD23" s="8"/>
      <c r="AAE23" s="8"/>
      <c r="AAF23" s="8"/>
      <c r="AAG23" s="8"/>
      <c r="AAH23" s="8"/>
      <c r="AAI23" s="8"/>
      <c r="AAJ23" s="8"/>
      <c r="AAK23" s="8"/>
      <c r="AAL23" s="8"/>
      <c r="AAM23" s="8"/>
      <c r="AAN23" s="8"/>
      <c r="AAO23" s="8"/>
      <c r="AAP23" s="8"/>
      <c r="AAQ23" s="8"/>
      <c r="AAR23" s="8"/>
      <c r="AAS23" s="8"/>
      <c r="AAT23" s="8"/>
      <c r="AAU23" s="8"/>
      <c r="AAV23" s="8"/>
      <c r="AAW23" s="8"/>
      <c r="AAX23" s="8"/>
      <c r="AAY23" s="8"/>
      <c r="AAZ23" s="8"/>
      <c r="ABA23" s="8"/>
      <c r="ABB23" s="8"/>
      <c r="ABC23" s="8"/>
      <c r="ABD23" s="8"/>
      <c r="ABE23" s="8"/>
      <c r="ABF23" s="8"/>
      <c r="ABG23" s="8"/>
      <c r="ABH23" s="8"/>
      <c r="ABI23" s="8"/>
      <c r="ABJ23" s="8"/>
      <c r="ABK23" s="8"/>
      <c r="ABL23" s="8"/>
      <c r="ABM23" s="8"/>
      <c r="ABN23" s="8"/>
      <c r="ABO23" s="8"/>
      <c r="ABP23" s="8"/>
      <c r="ABQ23" s="8"/>
      <c r="ABR23" s="8"/>
      <c r="ABS23" s="8"/>
      <c r="ABT23" s="8"/>
      <c r="ABU23" s="8"/>
      <c r="ABV23" s="8"/>
      <c r="ABW23" s="8"/>
      <c r="ABX23" s="8"/>
      <c r="ABY23" s="8"/>
      <c r="ABZ23" s="8"/>
      <c r="ACA23" s="8"/>
      <c r="ACB23" s="8"/>
      <c r="ACC23" s="8"/>
      <c r="ACD23" s="8"/>
      <c r="ACE23" s="8"/>
      <c r="ACF23" s="8"/>
      <c r="ACG23" s="8"/>
      <c r="ACH23" s="8"/>
      <c r="ACI23" s="8"/>
      <c r="ACJ23" s="8"/>
      <c r="ACK23" s="8"/>
      <c r="ACL23" s="8"/>
      <c r="ACM23" s="8"/>
      <c r="ACN23" s="8"/>
      <c r="ACO23" s="8"/>
      <c r="ACP23" s="8"/>
      <c r="ACQ23" s="8"/>
      <c r="ACR23" s="8"/>
      <c r="ACS23" s="8"/>
      <c r="ACT23" s="8"/>
      <c r="ACU23" s="8"/>
      <c r="ACV23" s="8"/>
      <c r="ACW23" s="8"/>
      <c r="ACX23" s="8"/>
      <c r="ACY23" s="8"/>
      <c r="ACZ23" s="8"/>
      <c r="ADA23" s="8"/>
      <c r="ADB23" s="8"/>
      <c r="ADC23" s="8"/>
      <c r="ADD23" s="8"/>
      <c r="ADE23" s="8"/>
      <c r="ADF23" s="8"/>
      <c r="ADG23" s="8"/>
      <c r="ADH23" s="8"/>
      <c r="ADI23" s="8"/>
      <c r="ADJ23" s="8"/>
      <c r="ADK23" s="8"/>
      <c r="ADL23" s="8"/>
      <c r="ADM23" s="8"/>
      <c r="ADN23" s="8"/>
      <c r="ADO23" s="8"/>
      <c r="ADP23" s="8"/>
      <c r="ADQ23" s="8"/>
      <c r="ADR23" s="8"/>
      <c r="ADS23" s="8"/>
      <c r="ADT23" s="8"/>
      <c r="ADU23" s="8"/>
      <c r="ADV23" s="8"/>
      <c r="ADW23" s="8"/>
      <c r="ADX23" s="8"/>
      <c r="ADY23" s="8"/>
      <c r="ADZ23" s="8"/>
      <c r="AEA23" s="8"/>
      <c r="AEB23" s="8"/>
      <c r="AEC23" s="8"/>
      <c r="AED23" s="8"/>
      <c r="AEE23" s="8"/>
      <c r="AEF23" s="8"/>
      <c r="AEG23" s="8"/>
      <c r="AEH23" s="8"/>
      <c r="AEI23" s="8"/>
      <c r="AEJ23" s="8"/>
      <c r="AEK23" s="8"/>
      <c r="AEL23" s="8"/>
      <c r="AEM23" s="8"/>
      <c r="AEN23" s="8"/>
      <c r="AEO23" s="8"/>
      <c r="AEP23" s="8"/>
      <c r="AEQ23" s="8"/>
      <c r="AER23" s="8"/>
      <c r="AES23" s="8"/>
      <c r="AET23" s="8"/>
      <c r="AEU23" s="8"/>
      <c r="AEV23" s="8"/>
      <c r="AEW23" s="8"/>
      <c r="AEX23" s="8"/>
      <c r="AEY23" s="8"/>
      <c r="AEZ23" s="8"/>
      <c r="AFA23" s="8"/>
      <c r="AFB23" s="8"/>
      <c r="AFC23" s="8"/>
      <c r="AFD23" s="8"/>
      <c r="AFE23" s="8"/>
      <c r="AFF23" s="8"/>
      <c r="AFG23" s="8"/>
      <c r="AFH23" s="8"/>
      <c r="AFI23" s="8"/>
      <c r="AFJ23" s="8"/>
      <c r="AFK23" s="8"/>
      <c r="AFL23" s="8"/>
      <c r="AFM23" s="8"/>
      <c r="AFN23" s="8"/>
      <c r="AFO23" s="8"/>
      <c r="AFP23" s="8"/>
      <c r="AFQ23" s="8"/>
      <c r="AFR23" s="8"/>
      <c r="AFS23" s="8"/>
      <c r="AFT23" s="8"/>
      <c r="AFU23" s="8"/>
      <c r="AFV23" s="8"/>
      <c r="AFW23" s="8"/>
      <c r="AFX23" s="8"/>
      <c r="AFY23" s="8"/>
      <c r="AFZ23" s="8"/>
      <c r="AGA23" s="8"/>
      <c r="AGB23" s="8"/>
      <c r="AGC23" s="8"/>
      <c r="AGD23" s="8"/>
      <c r="AGE23" s="8"/>
      <c r="AGF23" s="8"/>
      <c r="AGG23" s="8"/>
      <c r="AGH23" s="8"/>
      <c r="AGI23" s="8"/>
      <c r="AGJ23" s="8"/>
      <c r="AGK23" s="8"/>
      <c r="AGL23" s="8"/>
      <c r="AGM23" s="8"/>
      <c r="AGN23" s="8"/>
      <c r="AGO23" s="8"/>
      <c r="AGP23" s="8"/>
      <c r="AGQ23" s="8"/>
      <c r="AGR23" s="8"/>
      <c r="AGS23" s="8"/>
      <c r="AGT23" s="8"/>
      <c r="AGU23" s="8"/>
      <c r="AGV23" s="8"/>
      <c r="AGW23" s="8"/>
      <c r="AGX23" s="8"/>
      <c r="AGY23" s="8"/>
      <c r="AGZ23" s="8"/>
      <c r="AHA23" s="8"/>
      <c r="AHB23" s="8"/>
      <c r="AHC23" s="8"/>
      <c r="AHD23" s="8"/>
      <c r="AHE23" s="8"/>
      <c r="AHF23" s="8"/>
      <c r="AHG23" s="8"/>
      <c r="AHH23" s="8"/>
      <c r="AHI23" s="8"/>
      <c r="AHJ23" s="8"/>
      <c r="AHK23" s="8"/>
      <c r="AHL23" s="8"/>
      <c r="AHM23" s="8"/>
      <c r="AHN23" s="8"/>
      <c r="AHO23" s="8"/>
      <c r="AHP23" s="8"/>
      <c r="AHQ23" s="8"/>
      <c r="AHR23" s="8"/>
      <c r="AHS23" s="8"/>
      <c r="AHT23" s="8"/>
      <c r="AHU23" s="8"/>
      <c r="AHV23" s="8"/>
      <c r="AHW23" s="8"/>
      <c r="AHX23" s="8"/>
      <c r="AHY23" s="8"/>
      <c r="AHZ23" s="8"/>
      <c r="AIA23" s="8"/>
      <c r="AIB23" s="8"/>
      <c r="AIC23" s="8"/>
      <c r="AID23" s="8"/>
      <c r="AIE23" s="8"/>
      <c r="AIF23" s="8"/>
      <c r="AIG23" s="8"/>
      <c r="AIH23" s="8"/>
      <c r="AII23" s="8"/>
      <c r="AIJ23" s="8"/>
      <c r="AIK23" s="8"/>
      <c r="AIL23" s="8"/>
      <c r="AIM23" s="8"/>
      <c r="AIN23" s="8"/>
      <c r="AIO23" s="8"/>
      <c r="AIP23" s="8"/>
      <c r="AIQ23" s="8"/>
      <c r="AIR23" s="8"/>
      <c r="AIS23" s="8"/>
      <c r="AIT23" s="8"/>
      <c r="AIU23" s="8"/>
      <c r="AIV23" s="8"/>
      <c r="AIW23" s="8"/>
      <c r="AIX23" s="8"/>
      <c r="AIY23" s="8"/>
      <c r="AIZ23" s="8"/>
      <c r="AJA23" s="8"/>
      <c r="AJB23" s="8"/>
      <c r="AJC23" s="8"/>
      <c r="AJD23" s="8"/>
      <c r="AJE23" s="8"/>
      <c r="AJF23" s="8"/>
      <c r="AJG23" s="8"/>
      <c r="AJH23" s="8"/>
      <c r="AJI23" s="8"/>
      <c r="AJJ23" s="8"/>
      <c r="AJK23" s="8"/>
      <c r="AJL23" s="8"/>
      <c r="AJM23" s="8"/>
      <c r="AJN23" s="8"/>
      <c r="AJO23" s="8"/>
      <c r="AJP23" s="8"/>
      <c r="AJQ23" s="8"/>
      <c r="AJR23" s="8"/>
      <c r="AJS23" s="8"/>
      <c r="AJT23" s="8"/>
      <c r="AJU23" s="8"/>
      <c r="AJV23" s="8"/>
      <c r="AJW23" s="8"/>
      <c r="AJX23" s="8"/>
      <c r="AJY23" s="8"/>
      <c r="AJZ23" s="8"/>
      <c r="AKA23" s="8"/>
      <c r="AKB23" s="8"/>
      <c r="AKC23" s="8"/>
      <c r="AKD23" s="8"/>
      <c r="AKE23" s="8"/>
      <c r="AKF23" s="8"/>
      <c r="AKG23" s="8"/>
      <c r="AKH23" s="8"/>
      <c r="AKI23" s="8"/>
      <c r="AKJ23" s="8"/>
      <c r="AKK23" s="8"/>
      <c r="AKL23" s="8"/>
      <c r="AKM23" s="8"/>
      <c r="AKN23" s="8"/>
      <c r="AKO23" s="8"/>
      <c r="AKP23" s="8"/>
      <c r="AKQ23" s="8"/>
      <c r="AKR23" s="8"/>
      <c r="AKS23" s="8"/>
      <c r="AKT23" s="8"/>
      <c r="AKU23" s="8"/>
      <c r="AKV23" s="8"/>
      <c r="AKW23" s="8"/>
      <c r="AKX23" s="8"/>
      <c r="AKY23" s="8"/>
      <c r="AKZ23" s="8"/>
      <c r="ALA23" s="8"/>
      <c r="ALB23" s="8"/>
      <c r="ALC23" s="8"/>
      <c r="ALD23" s="8"/>
      <c r="ALE23" s="8"/>
      <c r="ALF23" s="8"/>
      <c r="ALG23" s="8"/>
      <c r="ALH23" s="8"/>
      <c r="ALI23" s="8"/>
      <c r="ALJ23" s="8"/>
      <c r="ALK23" s="8"/>
      <c r="ALL23" s="8"/>
    </row>
    <row r="24" spans="1:1000" x14ac:dyDescent="0.25">
      <c r="A24" t="str">
        <f ca="1">IF(_xll.TM1RPTELISCONSOLIDATED($C$19,$C24),IF(_xll.TM1RPTELLEV($C$19,$C24)&lt;=3,_xll.TM1RPTELLEV($C$19,$C24),"D"),IF($F$13="Units Sold","D","N"))</f>
        <v>N</v>
      </c>
      <c r="C24" s="21" t="s">
        <v>80</v>
      </c>
      <c r="D24" s="44" t="str">
        <f ca="1">_xll.DBRW($C$9,$C$13,$D$13,$C24,D$18,$H$13,$J$13,$F$13)</f>
        <v/>
      </c>
      <c r="E24" s="44" t="str">
        <f ca="1">_xll.DBRW($C$9,$C$13,$D$13,$C24,E$18,$H$13,$J$13,$F$13)</f>
        <v/>
      </c>
      <c r="F24" s="44" t="str">
        <f ca="1">_xll.DBRW($C$9,$C$13,$D$13,$C24,F$18,$H$13,$J$13,$F$13)</f>
        <v/>
      </c>
      <c r="G24" s="44" t="str">
        <f ca="1">_xll.DBRW($C$9,$C$13,$D$13,$C24,G$18,$H$13,$J$13,$F$13)</f>
        <v/>
      </c>
      <c r="H24" s="44" t="str">
        <f ca="1">_xll.DBRW($C$9,$C$13,$D$13,$C24,H$18,$H$13,$J$13,$F$13)</f>
        <v/>
      </c>
      <c r="I24" s="44" t="str">
        <f ca="1">_xll.DBRW($C$9,$C$13,$D$13,$C24,I$18,$H$13,$J$13,$F$13)</f>
        <v/>
      </c>
      <c r="J24" s="44" t="str">
        <f ca="1">_xll.DBRW($C$9,$C$13,$D$13,$C24,J$18,$H$13,$J$13,$F$13)</f>
        <v/>
      </c>
      <c r="K24" s="44" t="str">
        <f ca="1">_xll.DBRW($C$9,$C$13,$D$13,$C24,K$18,$H$13,$J$13,$F$13)</f>
        <v/>
      </c>
      <c r="L24" s="44" t="str">
        <f ca="1">_xll.DBRW($C$9,$C$13,$D$13,$C24,L$18,$H$13,$J$13,$F$13)</f>
        <v/>
      </c>
      <c r="M24" s="44" t="str">
        <f ca="1">_xll.DBRW($C$9,$C$13,$D$13,$C24,M$18,$H$13,$J$13,$F$13)</f>
        <v/>
      </c>
      <c r="N24" s="44" t="str">
        <f ca="1">_xll.DBRW($C$9,$C$13,$D$13,$C24,N$18,$H$13,$J$13,$F$13)</f>
        <v/>
      </c>
      <c r="O24" s="44" t="str">
        <f ca="1">_xll.DBRW($C$9,$C$13,$D$13,$C24,O$18,$H$13,$J$13,$F$13)</f>
        <v/>
      </c>
      <c r="P24" s="44" t="str">
        <f ca="1">_xll.DBRW($C$9,$C$13,$D$13,$C24,P$18,$H$13,$J$13,$F$13)</f>
        <v/>
      </c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  <c r="AAA24" s="8"/>
      <c r="AAB24" s="8"/>
      <c r="AAC24" s="8"/>
      <c r="AAD24" s="8"/>
      <c r="AAE24" s="8"/>
      <c r="AAF24" s="8"/>
      <c r="AAG24" s="8"/>
      <c r="AAH24" s="8"/>
      <c r="AAI24" s="8"/>
      <c r="AAJ24" s="8"/>
      <c r="AAK24" s="8"/>
      <c r="AAL24" s="8"/>
      <c r="AAM24" s="8"/>
      <c r="AAN24" s="8"/>
      <c r="AAO24" s="8"/>
      <c r="AAP24" s="8"/>
      <c r="AAQ24" s="8"/>
      <c r="AAR24" s="8"/>
      <c r="AAS24" s="8"/>
      <c r="AAT24" s="8"/>
      <c r="AAU24" s="8"/>
      <c r="AAV24" s="8"/>
      <c r="AAW24" s="8"/>
      <c r="AAX24" s="8"/>
      <c r="AAY24" s="8"/>
      <c r="AAZ24" s="8"/>
      <c r="ABA24" s="8"/>
      <c r="ABB24" s="8"/>
      <c r="ABC24" s="8"/>
      <c r="ABD24" s="8"/>
      <c r="ABE24" s="8"/>
      <c r="ABF24" s="8"/>
      <c r="ABG24" s="8"/>
      <c r="ABH24" s="8"/>
      <c r="ABI24" s="8"/>
      <c r="ABJ24" s="8"/>
      <c r="ABK24" s="8"/>
      <c r="ABL24" s="8"/>
      <c r="ABM24" s="8"/>
      <c r="ABN24" s="8"/>
      <c r="ABO24" s="8"/>
      <c r="ABP24" s="8"/>
      <c r="ABQ24" s="8"/>
      <c r="ABR24" s="8"/>
      <c r="ABS24" s="8"/>
      <c r="ABT24" s="8"/>
      <c r="ABU24" s="8"/>
      <c r="ABV24" s="8"/>
      <c r="ABW24" s="8"/>
      <c r="ABX24" s="8"/>
      <c r="ABY24" s="8"/>
      <c r="ABZ24" s="8"/>
      <c r="ACA24" s="8"/>
      <c r="ACB24" s="8"/>
      <c r="ACC24" s="8"/>
      <c r="ACD24" s="8"/>
      <c r="ACE24" s="8"/>
      <c r="ACF24" s="8"/>
      <c r="ACG24" s="8"/>
      <c r="ACH24" s="8"/>
      <c r="ACI24" s="8"/>
      <c r="ACJ24" s="8"/>
      <c r="ACK24" s="8"/>
      <c r="ACL24" s="8"/>
      <c r="ACM24" s="8"/>
      <c r="ACN24" s="8"/>
      <c r="ACO24" s="8"/>
      <c r="ACP24" s="8"/>
      <c r="ACQ24" s="8"/>
      <c r="ACR24" s="8"/>
      <c r="ACS24" s="8"/>
      <c r="ACT24" s="8"/>
      <c r="ACU24" s="8"/>
      <c r="ACV24" s="8"/>
      <c r="ACW24" s="8"/>
      <c r="ACX24" s="8"/>
      <c r="ACY24" s="8"/>
      <c r="ACZ24" s="8"/>
      <c r="ADA24" s="8"/>
      <c r="ADB24" s="8"/>
      <c r="ADC24" s="8"/>
      <c r="ADD24" s="8"/>
      <c r="ADE24" s="8"/>
      <c r="ADF24" s="8"/>
      <c r="ADG24" s="8"/>
      <c r="ADH24" s="8"/>
      <c r="ADI24" s="8"/>
      <c r="ADJ24" s="8"/>
      <c r="ADK24" s="8"/>
      <c r="ADL24" s="8"/>
      <c r="ADM24" s="8"/>
      <c r="ADN24" s="8"/>
      <c r="ADO24" s="8"/>
      <c r="ADP24" s="8"/>
      <c r="ADQ24" s="8"/>
      <c r="ADR24" s="8"/>
      <c r="ADS24" s="8"/>
      <c r="ADT24" s="8"/>
      <c r="ADU24" s="8"/>
      <c r="ADV24" s="8"/>
      <c r="ADW24" s="8"/>
      <c r="ADX24" s="8"/>
      <c r="ADY24" s="8"/>
      <c r="ADZ24" s="8"/>
      <c r="AEA24" s="8"/>
      <c r="AEB24" s="8"/>
      <c r="AEC24" s="8"/>
      <c r="AED24" s="8"/>
      <c r="AEE24" s="8"/>
      <c r="AEF24" s="8"/>
      <c r="AEG24" s="8"/>
      <c r="AEH24" s="8"/>
      <c r="AEI24" s="8"/>
      <c r="AEJ24" s="8"/>
      <c r="AEK24" s="8"/>
      <c r="AEL24" s="8"/>
      <c r="AEM24" s="8"/>
      <c r="AEN24" s="8"/>
      <c r="AEO24" s="8"/>
      <c r="AEP24" s="8"/>
      <c r="AEQ24" s="8"/>
      <c r="AER24" s="8"/>
      <c r="AES24" s="8"/>
      <c r="AET24" s="8"/>
      <c r="AEU24" s="8"/>
      <c r="AEV24" s="8"/>
      <c r="AEW24" s="8"/>
      <c r="AEX24" s="8"/>
      <c r="AEY24" s="8"/>
      <c r="AEZ24" s="8"/>
      <c r="AFA24" s="8"/>
      <c r="AFB24" s="8"/>
      <c r="AFC24" s="8"/>
      <c r="AFD24" s="8"/>
      <c r="AFE24" s="8"/>
      <c r="AFF24" s="8"/>
      <c r="AFG24" s="8"/>
      <c r="AFH24" s="8"/>
      <c r="AFI24" s="8"/>
      <c r="AFJ24" s="8"/>
      <c r="AFK24" s="8"/>
      <c r="AFL24" s="8"/>
      <c r="AFM24" s="8"/>
      <c r="AFN24" s="8"/>
      <c r="AFO24" s="8"/>
      <c r="AFP24" s="8"/>
      <c r="AFQ24" s="8"/>
      <c r="AFR24" s="8"/>
      <c r="AFS24" s="8"/>
      <c r="AFT24" s="8"/>
      <c r="AFU24" s="8"/>
      <c r="AFV24" s="8"/>
      <c r="AFW24" s="8"/>
      <c r="AFX24" s="8"/>
      <c r="AFY24" s="8"/>
      <c r="AFZ24" s="8"/>
      <c r="AGA24" s="8"/>
      <c r="AGB24" s="8"/>
      <c r="AGC24" s="8"/>
      <c r="AGD24" s="8"/>
      <c r="AGE24" s="8"/>
      <c r="AGF24" s="8"/>
      <c r="AGG24" s="8"/>
      <c r="AGH24" s="8"/>
      <c r="AGI24" s="8"/>
      <c r="AGJ24" s="8"/>
      <c r="AGK24" s="8"/>
      <c r="AGL24" s="8"/>
      <c r="AGM24" s="8"/>
      <c r="AGN24" s="8"/>
      <c r="AGO24" s="8"/>
      <c r="AGP24" s="8"/>
      <c r="AGQ24" s="8"/>
      <c r="AGR24" s="8"/>
      <c r="AGS24" s="8"/>
      <c r="AGT24" s="8"/>
      <c r="AGU24" s="8"/>
      <c r="AGV24" s="8"/>
      <c r="AGW24" s="8"/>
      <c r="AGX24" s="8"/>
      <c r="AGY24" s="8"/>
      <c r="AGZ24" s="8"/>
      <c r="AHA24" s="8"/>
      <c r="AHB24" s="8"/>
      <c r="AHC24" s="8"/>
      <c r="AHD24" s="8"/>
      <c r="AHE24" s="8"/>
      <c r="AHF24" s="8"/>
      <c r="AHG24" s="8"/>
      <c r="AHH24" s="8"/>
      <c r="AHI24" s="8"/>
      <c r="AHJ24" s="8"/>
      <c r="AHK24" s="8"/>
      <c r="AHL24" s="8"/>
      <c r="AHM24" s="8"/>
      <c r="AHN24" s="8"/>
      <c r="AHO24" s="8"/>
      <c r="AHP24" s="8"/>
      <c r="AHQ24" s="8"/>
      <c r="AHR24" s="8"/>
      <c r="AHS24" s="8"/>
      <c r="AHT24" s="8"/>
      <c r="AHU24" s="8"/>
      <c r="AHV24" s="8"/>
      <c r="AHW24" s="8"/>
      <c r="AHX24" s="8"/>
      <c r="AHY24" s="8"/>
      <c r="AHZ24" s="8"/>
      <c r="AIA24" s="8"/>
      <c r="AIB24" s="8"/>
      <c r="AIC24" s="8"/>
      <c r="AID24" s="8"/>
      <c r="AIE24" s="8"/>
      <c r="AIF24" s="8"/>
      <c r="AIG24" s="8"/>
      <c r="AIH24" s="8"/>
      <c r="AII24" s="8"/>
      <c r="AIJ24" s="8"/>
      <c r="AIK24" s="8"/>
      <c r="AIL24" s="8"/>
      <c r="AIM24" s="8"/>
      <c r="AIN24" s="8"/>
      <c r="AIO24" s="8"/>
      <c r="AIP24" s="8"/>
      <c r="AIQ24" s="8"/>
      <c r="AIR24" s="8"/>
      <c r="AIS24" s="8"/>
      <c r="AIT24" s="8"/>
      <c r="AIU24" s="8"/>
      <c r="AIV24" s="8"/>
      <c r="AIW24" s="8"/>
      <c r="AIX24" s="8"/>
      <c r="AIY24" s="8"/>
      <c r="AIZ24" s="8"/>
      <c r="AJA24" s="8"/>
      <c r="AJB24" s="8"/>
      <c r="AJC24" s="8"/>
      <c r="AJD24" s="8"/>
      <c r="AJE24" s="8"/>
      <c r="AJF24" s="8"/>
      <c r="AJG24" s="8"/>
      <c r="AJH24" s="8"/>
      <c r="AJI24" s="8"/>
      <c r="AJJ24" s="8"/>
      <c r="AJK24" s="8"/>
      <c r="AJL24" s="8"/>
      <c r="AJM24" s="8"/>
      <c r="AJN24" s="8"/>
      <c r="AJO24" s="8"/>
      <c r="AJP24" s="8"/>
      <c r="AJQ24" s="8"/>
      <c r="AJR24" s="8"/>
      <c r="AJS24" s="8"/>
      <c r="AJT24" s="8"/>
      <c r="AJU24" s="8"/>
      <c r="AJV24" s="8"/>
      <c r="AJW24" s="8"/>
      <c r="AJX24" s="8"/>
      <c r="AJY24" s="8"/>
      <c r="AJZ24" s="8"/>
      <c r="AKA24" s="8"/>
      <c r="AKB24" s="8"/>
      <c r="AKC24" s="8"/>
      <c r="AKD24" s="8"/>
      <c r="AKE24" s="8"/>
      <c r="AKF24" s="8"/>
      <c r="AKG24" s="8"/>
      <c r="AKH24" s="8"/>
      <c r="AKI24" s="8"/>
      <c r="AKJ24" s="8"/>
      <c r="AKK24" s="8"/>
      <c r="AKL24" s="8"/>
      <c r="AKM24" s="8"/>
      <c r="AKN24" s="8"/>
      <c r="AKO24" s="8"/>
      <c r="AKP24" s="8"/>
      <c r="AKQ24" s="8"/>
      <c r="AKR24" s="8"/>
      <c r="AKS24" s="8"/>
      <c r="AKT24" s="8"/>
      <c r="AKU24" s="8"/>
      <c r="AKV24" s="8"/>
      <c r="AKW24" s="8"/>
      <c r="AKX24" s="8"/>
      <c r="AKY24" s="8"/>
      <c r="AKZ24" s="8"/>
      <c r="ALA24" s="8"/>
      <c r="ALB24" s="8"/>
      <c r="ALC24" s="8"/>
      <c r="ALD24" s="8"/>
      <c r="ALE24" s="8"/>
      <c r="ALF24" s="8"/>
      <c r="ALG24" s="8"/>
      <c r="ALH24" s="8"/>
      <c r="ALI24" s="8"/>
      <c r="ALJ24" s="8"/>
      <c r="ALK24" s="8"/>
      <c r="ALL24" s="8"/>
    </row>
    <row r="25" spans="1:1000" x14ac:dyDescent="0.25">
      <c r="A25" t="str">
        <f ca="1">IF(_xll.TM1RPTELISCONSOLIDATED($C$19,$C25),IF(_xll.TM1RPTELLEV($C$19,$C25)&lt;=3,_xll.TM1RPTELLEV($C$19,$C25),"D"),IF($F$13="Units Sold","D","N"))</f>
        <v>N</v>
      </c>
      <c r="C25" s="89" t="s">
        <v>81</v>
      </c>
      <c r="D25" s="44" t="str">
        <f ca="1">_xll.DBRW($C$9,$C$13,$D$13,$C25,D$18,$H$13,$J$13,$F$13)</f>
        <v/>
      </c>
      <c r="E25" s="44" t="str">
        <f ca="1">_xll.DBRW($C$9,$C$13,$D$13,$C25,E$18,$H$13,$J$13,$F$13)</f>
        <v/>
      </c>
      <c r="F25" s="44" t="str">
        <f ca="1">_xll.DBRW($C$9,$C$13,$D$13,$C25,F$18,$H$13,$J$13,$F$13)</f>
        <v/>
      </c>
      <c r="G25" s="44" t="str">
        <f ca="1">_xll.DBRW($C$9,$C$13,$D$13,$C25,G$18,$H$13,$J$13,$F$13)</f>
        <v/>
      </c>
      <c r="H25" s="44" t="str">
        <f ca="1">_xll.DBRW($C$9,$C$13,$D$13,$C25,H$18,$H$13,$J$13,$F$13)</f>
        <v/>
      </c>
      <c r="I25" s="44" t="str">
        <f ca="1">_xll.DBRW($C$9,$C$13,$D$13,$C25,I$18,$H$13,$J$13,$F$13)</f>
        <v/>
      </c>
      <c r="J25" s="44" t="str">
        <f ca="1">_xll.DBRW($C$9,$C$13,$D$13,$C25,J$18,$H$13,$J$13,$F$13)</f>
        <v/>
      </c>
      <c r="K25" s="44" t="str">
        <f ca="1">_xll.DBRW($C$9,$C$13,$D$13,$C25,K$18,$H$13,$J$13,$F$13)</f>
        <v/>
      </c>
      <c r="L25" s="44" t="str">
        <f ca="1">_xll.DBRW($C$9,$C$13,$D$13,$C25,L$18,$H$13,$J$13,$F$13)</f>
        <v/>
      </c>
      <c r="M25" s="44" t="str">
        <f ca="1">_xll.DBRW($C$9,$C$13,$D$13,$C25,M$18,$H$13,$J$13,$F$13)</f>
        <v/>
      </c>
      <c r="N25" s="44" t="str">
        <f ca="1">_xll.DBRW($C$9,$C$13,$D$13,$C25,N$18,$H$13,$J$13,$F$13)</f>
        <v/>
      </c>
      <c r="O25" s="44" t="str">
        <f ca="1">_xll.DBRW($C$9,$C$13,$D$13,$C25,O$18,$H$13,$J$13,$F$13)</f>
        <v/>
      </c>
      <c r="P25" s="44" t="str">
        <f ca="1">_xll.DBRW($C$9,$C$13,$D$13,$C25,P$18,$H$13,$J$13,$F$13)</f>
        <v/>
      </c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  <c r="AAA25" s="8"/>
      <c r="AAB25" s="8"/>
      <c r="AAC25" s="8"/>
      <c r="AAD25" s="8"/>
      <c r="AAE25" s="8"/>
      <c r="AAF25" s="8"/>
      <c r="AAG25" s="8"/>
      <c r="AAH25" s="8"/>
      <c r="AAI25" s="8"/>
      <c r="AAJ25" s="8"/>
      <c r="AAK25" s="8"/>
      <c r="AAL25" s="8"/>
      <c r="AAM25" s="8"/>
      <c r="AAN25" s="8"/>
      <c r="AAO25" s="8"/>
      <c r="AAP25" s="8"/>
      <c r="AAQ25" s="8"/>
      <c r="AAR25" s="8"/>
      <c r="AAS25" s="8"/>
      <c r="AAT25" s="8"/>
      <c r="AAU25" s="8"/>
      <c r="AAV25" s="8"/>
      <c r="AAW25" s="8"/>
      <c r="AAX25" s="8"/>
      <c r="AAY25" s="8"/>
      <c r="AAZ25" s="8"/>
      <c r="ABA25" s="8"/>
      <c r="ABB25" s="8"/>
      <c r="ABC25" s="8"/>
      <c r="ABD25" s="8"/>
      <c r="ABE25" s="8"/>
      <c r="ABF25" s="8"/>
      <c r="ABG25" s="8"/>
      <c r="ABH25" s="8"/>
      <c r="ABI25" s="8"/>
      <c r="ABJ25" s="8"/>
      <c r="ABK25" s="8"/>
      <c r="ABL25" s="8"/>
      <c r="ABM25" s="8"/>
      <c r="ABN25" s="8"/>
      <c r="ABO25" s="8"/>
      <c r="ABP25" s="8"/>
      <c r="ABQ25" s="8"/>
      <c r="ABR25" s="8"/>
      <c r="ABS25" s="8"/>
      <c r="ABT25" s="8"/>
      <c r="ABU25" s="8"/>
      <c r="ABV25" s="8"/>
      <c r="ABW25" s="8"/>
      <c r="ABX25" s="8"/>
      <c r="ABY25" s="8"/>
      <c r="ABZ25" s="8"/>
      <c r="ACA25" s="8"/>
      <c r="ACB25" s="8"/>
      <c r="ACC25" s="8"/>
      <c r="ACD25" s="8"/>
      <c r="ACE25" s="8"/>
      <c r="ACF25" s="8"/>
      <c r="ACG25" s="8"/>
      <c r="ACH25" s="8"/>
      <c r="ACI25" s="8"/>
      <c r="ACJ25" s="8"/>
      <c r="ACK25" s="8"/>
      <c r="ACL25" s="8"/>
      <c r="ACM25" s="8"/>
      <c r="ACN25" s="8"/>
      <c r="ACO25" s="8"/>
      <c r="ACP25" s="8"/>
      <c r="ACQ25" s="8"/>
      <c r="ACR25" s="8"/>
      <c r="ACS25" s="8"/>
      <c r="ACT25" s="8"/>
      <c r="ACU25" s="8"/>
      <c r="ACV25" s="8"/>
      <c r="ACW25" s="8"/>
      <c r="ACX25" s="8"/>
      <c r="ACY25" s="8"/>
      <c r="ACZ25" s="8"/>
      <c r="ADA25" s="8"/>
      <c r="ADB25" s="8"/>
      <c r="ADC25" s="8"/>
      <c r="ADD25" s="8"/>
      <c r="ADE25" s="8"/>
      <c r="ADF25" s="8"/>
      <c r="ADG25" s="8"/>
      <c r="ADH25" s="8"/>
      <c r="ADI25" s="8"/>
      <c r="ADJ25" s="8"/>
      <c r="ADK25" s="8"/>
      <c r="ADL25" s="8"/>
      <c r="ADM25" s="8"/>
      <c r="ADN25" s="8"/>
      <c r="ADO25" s="8"/>
      <c r="ADP25" s="8"/>
      <c r="ADQ25" s="8"/>
      <c r="ADR25" s="8"/>
      <c r="ADS25" s="8"/>
      <c r="ADT25" s="8"/>
      <c r="ADU25" s="8"/>
      <c r="ADV25" s="8"/>
      <c r="ADW25" s="8"/>
      <c r="ADX25" s="8"/>
      <c r="ADY25" s="8"/>
      <c r="ADZ25" s="8"/>
      <c r="AEA25" s="8"/>
      <c r="AEB25" s="8"/>
      <c r="AEC25" s="8"/>
      <c r="AED25" s="8"/>
      <c r="AEE25" s="8"/>
      <c r="AEF25" s="8"/>
      <c r="AEG25" s="8"/>
      <c r="AEH25" s="8"/>
      <c r="AEI25" s="8"/>
      <c r="AEJ25" s="8"/>
      <c r="AEK25" s="8"/>
      <c r="AEL25" s="8"/>
      <c r="AEM25" s="8"/>
      <c r="AEN25" s="8"/>
      <c r="AEO25" s="8"/>
      <c r="AEP25" s="8"/>
      <c r="AEQ25" s="8"/>
      <c r="AER25" s="8"/>
      <c r="AES25" s="8"/>
      <c r="AET25" s="8"/>
      <c r="AEU25" s="8"/>
      <c r="AEV25" s="8"/>
      <c r="AEW25" s="8"/>
      <c r="AEX25" s="8"/>
      <c r="AEY25" s="8"/>
      <c r="AEZ25" s="8"/>
      <c r="AFA25" s="8"/>
      <c r="AFB25" s="8"/>
      <c r="AFC25" s="8"/>
      <c r="AFD25" s="8"/>
      <c r="AFE25" s="8"/>
      <c r="AFF25" s="8"/>
      <c r="AFG25" s="8"/>
      <c r="AFH25" s="8"/>
      <c r="AFI25" s="8"/>
      <c r="AFJ25" s="8"/>
      <c r="AFK25" s="8"/>
      <c r="AFL25" s="8"/>
      <c r="AFM25" s="8"/>
      <c r="AFN25" s="8"/>
      <c r="AFO25" s="8"/>
      <c r="AFP25" s="8"/>
      <c r="AFQ25" s="8"/>
      <c r="AFR25" s="8"/>
      <c r="AFS25" s="8"/>
      <c r="AFT25" s="8"/>
      <c r="AFU25" s="8"/>
      <c r="AFV25" s="8"/>
      <c r="AFW25" s="8"/>
      <c r="AFX25" s="8"/>
      <c r="AFY25" s="8"/>
      <c r="AFZ25" s="8"/>
      <c r="AGA25" s="8"/>
      <c r="AGB25" s="8"/>
      <c r="AGC25" s="8"/>
      <c r="AGD25" s="8"/>
      <c r="AGE25" s="8"/>
      <c r="AGF25" s="8"/>
      <c r="AGG25" s="8"/>
      <c r="AGH25" s="8"/>
      <c r="AGI25" s="8"/>
      <c r="AGJ25" s="8"/>
      <c r="AGK25" s="8"/>
      <c r="AGL25" s="8"/>
      <c r="AGM25" s="8"/>
      <c r="AGN25" s="8"/>
      <c r="AGO25" s="8"/>
      <c r="AGP25" s="8"/>
      <c r="AGQ25" s="8"/>
      <c r="AGR25" s="8"/>
      <c r="AGS25" s="8"/>
      <c r="AGT25" s="8"/>
      <c r="AGU25" s="8"/>
      <c r="AGV25" s="8"/>
      <c r="AGW25" s="8"/>
      <c r="AGX25" s="8"/>
      <c r="AGY25" s="8"/>
      <c r="AGZ25" s="8"/>
      <c r="AHA25" s="8"/>
      <c r="AHB25" s="8"/>
      <c r="AHC25" s="8"/>
      <c r="AHD25" s="8"/>
      <c r="AHE25" s="8"/>
      <c r="AHF25" s="8"/>
      <c r="AHG25" s="8"/>
      <c r="AHH25" s="8"/>
      <c r="AHI25" s="8"/>
      <c r="AHJ25" s="8"/>
      <c r="AHK25" s="8"/>
      <c r="AHL25" s="8"/>
      <c r="AHM25" s="8"/>
      <c r="AHN25" s="8"/>
      <c r="AHO25" s="8"/>
      <c r="AHP25" s="8"/>
      <c r="AHQ25" s="8"/>
      <c r="AHR25" s="8"/>
      <c r="AHS25" s="8"/>
      <c r="AHT25" s="8"/>
      <c r="AHU25" s="8"/>
      <c r="AHV25" s="8"/>
      <c r="AHW25" s="8"/>
      <c r="AHX25" s="8"/>
      <c r="AHY25" s="8"/>
      <c r="AHZ25" s="8"/>
      <c r="AIA25" s="8"/>
      <c r="AIB25" s="8"/>
      <c r="AIC25" s="8"/>
      <c r="AID25" s="8"/>
      <c r="AIE25" s="8"/>
      <c r="AIF25" s="8"/>
      <c r="AIG25" s="8"/>
      <c r="AIH25" s="8"/>
      <c r="AII25" s="8"/>
      <c r="AIJ25" s="8"/>
      <c r="AIK25" s="8"/>
      <c r="AIL25" s="8"/>
      <c r="AIM25" s="8"/>
      <c r="AIN25" s="8"/>
      <c r="AIO25" s="8"/>
      <c r="AIP25" s="8"/>
      <c r="AIQ25" s="8"/>
      <c r="AIR25" s="8"/>
      <c r="AIS25" s="8"/>
      <c r="AIT25" s="8"/>
      <c r="AIU25" s="8"/>
      <c r="AIV25" s="8"/>
      <c r="AIW25" s="8"/>
      <c r="AIX25" s="8"/>
      <c r="AIY25" s="8"/>
      <c r="AIZ25" s="8"/>
      <c r="AJA25" s="8"/>
      <c r="AJB25" s="8"/>
      <c r="AJC25" s="8"/>
      <c r="AJD25" s="8"/>
      <c r="AJE25" s="8"/>
      <c r="AJF25" s="8"/>
      <c r="AJG25" s="8"/>
      <c r="AJH25" s="8"/>
      <c r="AJI25" s="8"/>
      <c r="AJJ25" s="8"/>
      <c r="AJK25" s="8"/>
      <c r="AJL25" s="8"/>
      <c r="AJM25" s="8"/>
      <c r="AJN25" s="8"/>
      <c r="AJO25" s="8"/>
      <c r="AJP25" s="8"/>
      <c r="AJQ25" s="8"/>
      <c r="AJR25" s="8"/>
      <c r="AJS25" s="8"/>
      <c r="AJT25" s="8"/>
      <c r="AJU25" s="8"/>
      <c r="AJV25" s="8"/>
      <c r="AJW25" s="8"/>
      <c r="AJX25" s="8"/>
      <c r="AJY25" s="8"/>
      <c r="AJZ25" s="8"/>
      <c r="AKA25" s="8"/>
      <c r="AKB25" s="8"/>
      <c r="AKC25" s="8"/>
      <c r="AKD25" s="8"/>
      <c r="AKE25" s="8"/>
      <c r="AKF25" s="8"/>
      <c r="AKG25" s="8"/>
      <c r="AKH25" s="8"/>
      <c r="AKI25" s="8"/>
      <c r="AKJ25" s="8"/>
      <c r="AKK25" s="8"/>
      <c r="AKL25" s="8"/>
      <c r="AKM25" s="8"/>
      <c r="AKN25" s="8"/>
      <c r="AKO25" s="8"/>
      <c r="AKP25" s="8"/>
      <c r="AKQ25" s="8"/>
      <c r="AKR25" s="8"/>
      <c r="AKS25" s="8"/>
      <c r="AKT25" s="8"/>
      <c r="AKU25" s="8"/>
      <c r="AKV25" s="8"/>
      <c r="AKW25" s="8"/>
      <c r="AKX25" s="8"/>
      <c r="AKY25" s="8"/>
      <c r="AKZ25" s="8"/>
      <c r="ALA25" s="8"/>
      <c r="ALB25" s="8"/>
      <c r="ALC25" s="8"/>
      <c r="ALD25" s="8"/>
      <c r="ALE25" s="8"/>
      <c r="ALF25" s="8"/>
      <c r="ALG25" s="8"/>
      <c r="ALH25" s="8"/>
      <c r="ALI25" s="8"/>
      <c r="ALJ25" s="8"/>
      <c r="ALK25" s="8"/>
      <c r="ALL25" s="8"/>
    </row>
    <row r="26" spans="1:1000" x14ac:dyDescent="0.25">
      <c r="A26" t="str">
        <f ca="1">IF(_xll.TM1RPTELISCONSOLIDATED($C$19,$C26),IF(_xll.TM1RPTELLEV($C$19,$C26)&lt;=3,_xll.TM1RPTELLEV($C$19,$C26),"D"),IF($F$13="Units Sold","D","N"))</f>
        <v>N</v>
      </c>
      <c r="C26" s="89" t="s">
        <v>82</v>
      </c>
      <c r="D26" s="44" t="str">
        <f ca="1">_xll.DBRW($C$9,$C$13,$D$13,$C26,D$18,$H$13,$J$13,$F$13)</f>
        <v/>
      </c>
      <c r="E26" s="44" t="str">
        <f ca="1">_xll.DBRW($C$9,$C$13,$D$13,$C26,E$18,$H$13,$J$13,$F$13)</f>
        <v/>
      </c>
      <c r="F26" s="44" t="str">
        <f ca="1">_xll.DBRW($C$9,$C$13,$D$13,$C26,F$18,$H$13,$J$13,$F$13)</f>
        <v/>
      </c>
      <c r="G26" s="44" t="str">
        <f ca="1">_xll.DBRW($C$9,$C$13,$D$13,$C26,G$18,$H$13,$J$13,$F$13)</f>
        <v/>
      </c>
      <c r="H26" s="44" t="str">
        <f ca="1">_xll.DBRW($C$9,$C$13,$D$13,$C26,H$18,$H$13,$J$13,$F$13)</f>
        <v/>
      </c>
      <c r="I26" s="44" t="str">
        <f ca="1">_xll.DBRW($C$9,$C$13,$D$13,$C26,I$18,$H$13,$J$13,$F$13)</f>
        <v/>
      </c>
      <c r="J26" s="44" t="str">
        <f ca="1">_xll.DBRW($C$9,$C$13,$D$13,$C26,J$18,$H$13,$J$13,$F$13)</f>
        <v/>
      </c>
      <c r="K26" s="44" t="str">
        <f ca="1">_xll.DBRW($C$9,$C$13,$D$13,$C26,K$18,$H$13,$J$13,$F$13)</f>
        <v/>
      </c>
      <c r="L26" s="44" t="str">
        <f ca="1">_xll.DBRW($C$9,$C$13,$D$13,$C26,L$18,$H$13,$J$13,$F$13)</f>
        <v/>
      </c>
      <c r="M26" s="44" t="str">
        <f ca="1">_xll.DBRW($C$9,$C$13,$D$13,$C26,M$18,$H$13,$J$13,$F$13)</f>
        <v/>
      </c>
      <c r="N26" s="44" t="str">
        <f ca="1">_xll.DBRW($C$9,$C$13,$D$13,$C26,N$18,$H$13,$J$13,$F$13)</f>
        <v/>
      </c>
      <c r="O26" s="44" t="str">
        <f ca="1">_xll.DBRW($C$9,$C$13,$D$13,$C26,O$18,$H$13,$J$13,$F$13)</f>
        <v/>
      </c>
      <c r="P26" s="44" t="str">
        <f ca="1">_xll.DBRW($C$9,$C$13,$D$13,$C26,P$18,$H$13,$J$13,$F$13)</f>
        <v/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  <c r="AAA26" s="8"/>
      <c r="AAB26" s="8"/>
      <c r="AAC26" s="8"/>
      <c r="AAD26" s="8"/>
      <c r="AAE26" s="8"/>
      <c r="AAF26" s="8"/>
      <c r="AAG26" s="8"/>
      <c r="AAH26" s="8"/>
      <c r="AAI26" s="8"/>
      <c r="AAJ26" s="8"/>
      <c r="AAK26" s="8"/>
      <c r="AAL26" s="8"/>
      <c r="AAM26" s="8"/>
      <c r="AAN26" s="8"/>
      <c r="AAO26" s="8"/>
      <c r="AAP26" s="8"/>
      <c r="AAQ26" s="8"/>
      <c r="AAR26" s="8"/>
      <c r="AAS26" s="8"/>
      <c r="AAT26" s="8"/>
      <c r="AAU26" s="8"/>
      <c r="AAV26" s="8"/>
      <c r="AAW26" s="8"/>
      <c r="AAX26" s="8"/>
      <c r="AAY26" s="8"/>
      <c r="AAZ26" s="8"/>
      <c r="ABA26" s="8"/>
      <c r="ABB26" s="8"/>
      <c r="ABC26" s="8"/>
      <c r="ABD26" s="8"/>
      <c r="ABE26" s="8"/>
      <c r="ABF26" s="8"/>
      <c r="ABG26" s="8"/>
      <c r="ABH26" s="8"/>
      <c r="ABI26" s="8"/>
      <c r="ABJ26" s="8"/>
      <c r="ABK26" s="8"/>
      <c r="ABL26" s="8"/>
      <c r="ABM26" s="8"/>
      <c r="ABN26" s="8"/>
      <c r="ABO26" s="8"/>
      <c r="ABP26" s="8"/>
      <c r="ABQ26" s="8"/>
      <c r="ABR26" s="8"/>
      <c r="ABS26" s="8"/>
      <c r="ABT26" s="8"/>
      <c r="ABU26" s="8"/>
      <c r="ABV26" s="8"/>
      <c r="ABW26" s="8"/>
      <c r="ABX26" s="8"/>
      <c r="ABY26" s="8"/>
      <c r="ABZ26" s="8"/>
      <c r="ACA26" s="8"/>
      <c r="ACB26" s="8"/>
      <c r="ACC26" s="8"/>
      <c r="ACD26" s="8"/>
      <c r="ACE26" s="8"/>
      <c r="ACF26" s="8"/>
      <c r="ACG26" s="8"/>
      <c r="ACH26" s="8"/>
      <c r="ACI26" s="8"/>
      <c r="ACJ26" s="8"/>
      <c r="ACK26" s="8"/>
      <c r="ACL26" s="8"/>
      <c r="ACM26" s="8"/>
      <c r="ACN26" s="8"/>
      <c r="ACO26" s="8"/>
      <c r="ACP26" s="8"/>
      <c r="ACQ26" s="8"/>
      <c r="ACR26" s="8"/>
      <c r="ACS26" s="8"/>
      <c r="ACT26" s="8"/>
      <c r="ACU26" s="8"/>
      <c r="ACV26" s="8"/>
      <c r="ACW26" s="8"/>
      <c r="ACX26" s="8"/>
      <c r="ACY26" s="8"/>
      <c r="ACZ26" s="8"/>
      <c r="ADA26" s="8"/>
      <c r="ADB26" s="8"/>
      <c r="ADC26" s="8"/>
      <c r="ADD26" s="8"/>
      <c r="ADE26" s="8"/>
      <c r="ADF26" s="8"/>
      <c r="ADG26" s="8"/>
      <c r="ADH26" s="8"/>
      <c r="ADI26" s="8"/>
      <c r="ADJ26" s="8"/>
      <c r="ADK26" s="8"/>
      <c r="ADL26" s="8"/>
      <c r="ADM26" s="8"/>
      <c r="ADN26" s="8"/>
      <c r="ADO26" s="8"/>
      <c r="ADP26" s="8"/>
      <c r="ADQ26" s="8"/>
      <c r="ADR26" s="8"/>
      <c r="ADS26" s="8"/>
      <c r="ADT26" s="8"/>
      <c r="ADU26" s="8"/>
      <c r="ADV26" s="8"/>
      <c r="ADW26" s="8"/>
      <c r="ADX26" s="8"/>
      <c r="ADY26" s="8"/>
      <c r="ADZ26" s="8"/>
      <c r="AEA26" s="8"/>
      <c r="AEB26" s="8"/>
      <c r="AEC26" s="8"/>
      <c r="AED26" s="8"/>
      <c r="AEE26" s="8"/>
      <c r="AEF26" s="8"/>
      <c r="AEG26" s="8"/>
      <c r="AEH26" s="8"/>
      <c r="AEI26" s="8"/>
      <c r="AEJ26" s="8"/>
      <c r="AEK26" s="8"/>
      <c r="AEL26" s="8"/>
      <c r="AEM26" s="8"/>
      <c r="AEN26" s="8"/>
      <c r="AEO26" s="8"/>
      <c r="AEP26" s="8"/>
      <c r="AEQ26" s="8"/>
      <c r="AER26" s="8"/>
      <c r="AES26" s="8"/>
      <c r="AET26" s="8"/>
      <c r="AEU26" s="8"/>
      <c r="AEV26" s="8"/>
      <c r="AEW26" s="8"/>
      <c r="AEX26" s="8"/>
      <c r="AEY26" s="8"/>
      <c r="AEZ26" s="8"/>
      <c r="AFA26" s="8"/>
      <c r="AFB26" s="8"/>
      <c r="AFC26" s="8"/>
      <c r="AFD26" s="8"/>
      <c r="AFE26" s="8"/>
      <c r="AFF26" s="8"/>
      <c r="AFG26" s="8"/>
      <c r="AFH26" s="8"/>
      <c r="AFI26" s="8"/>
      <c r="AFJ26" s="8"/>
      <c r="AFK26" s="8"/>
      <c r="AFL26" s="8"/>
      <c r="AFM26" s="8"/>
      <c r="AFN26" s="8"/>
      <c r="AFO26" s="8"/>
      <c r="AFP26" s="8"/>
      <c r="AFQ26" s="8"/>
      <c r="AFR26" s="8"/>
      <c r="AFS26" s="8"/>
      <c r="AFT26" s="8"/>
      <c r="AFU26" s="8"/>
      <c r="AFV26" s="8"/>
      <c r="AFW26" s="8"/>
      <c r="AFX26" s="8"/>
      <c r="AFY26" s="8"/>
      <c r="AFZ26" s="8"/>
      <c r="AGA26" s="8"/>
      <c r="AGB26" s="8"/>
      <c r="AGC26" s="8"/>
      <c r="AGD26" s="8"/>
      <c r="AGE26" s="8"/>
      <c r="AGF26" s="8"/>
      <c r="AGG26" s="8"/>
      <c r="AGH26" s="8"/>
      <c r="AGI26" s="8"/>
      <c r="AGJ26" s="8"/>
      <c r="AGK26" s="8"/>
      <c r="AGL26" s="8"/>
      <c r="AGM26" s="8"/>
      <c r="AGN26" s="8"/>
      <c r="AGO26" s="8"/>
      <c r="AGP26" s="8"/>
      <c r="AGQ26" s="8"/>
      <c r="AGR26" s="8"/>
      <c r="AGS26" s="8"/>
      <c r="AGT26" s="8"/>
      <c r="AGU26" s="8"/>
      <c r="AGV26" s="8"/>
      <c r="AGW26" s="8"/>
      <c r="AGX26" s="8"/>
      <c r="AGY26" s="8"/>
      <c r="AGZ26" s="8"/>
      <c r="AHA26" s="8"/>
      <c r="AHB26" s="8"/>
      <c r="AHC26" s="8"/>
      <c r="AHD26" s="8"/>
      <c r="AHE26" s="8"/>
      <c r="AHF26" s="8"/>
      <c r="AHG26" s="8"/>
      <c r="AHH26" s="8"/>
      <c r="AHI26" s="8"/>
      <c r="AHJ26" s="8"/>
      <c r="AHK26" s="8"/>
      <c r="AHL26" s="8"/>
      <c r="AHM26" s="8"/>
      <c r="AHN26" s="8"/>
      <c r="AHO26" s="8"/>
      <c r="AHP26" s="8"/>
      <c r="AHQ26" s="8"/>
      <c r="AHR26" s="8"/>
      <c r="AHS26" s="8"/>
      <c r="AHT26" s="8"/>
      <c r="AHU26" s="8"/>
      <c r="AHV26" s="8"/>
      <c r="AHW26" s="8"/>
      <c r="AHX26" s="8"/>
      <c r="AHY26" s="8"/>
      <c r="AHZ26" s="8"/>
      <c r="AIA26" s="8"/>
      <c r="AIB26" s="8"/>
      <c r="AIC26" s="8"/>
      <c r="AID26" s="8"/>
      <c r="AIE26" s="8"/>
      <c r="AIF26" s="8"/>
      <c r="AIG26" s="8"/>
      <c r="AIH26" s="8"/>
      <c r="AII26" s="8"/>
      <c r="AIJ26" s="8"/>
      <c r="AIK26" s="8"/>
      <c r="AIL26" s="8"/>
      <c r="AIM26" s="8"/>
      <c r="AIN26" s="8"/>
      <c r="AIO26" s="8"/>
      <c r="AIP26" s="8"/>
      <c r="AIQ26" s="8"/>
      <c r="AIR26" s="8"/>
      <c r="AIS26" s="8"/>
      <c r="AIT26" s="8"/>
      <c r="AIU26" s="8"/>
      <c r="AIV26" s="8"/>
      <c r="AIW26" s="8"/>
      <c r="AIX26" s="8"/>
      <c r="AIY26" s="8"/>
      <c r="AIZ26" s="8"/>
      <c r="AJA26" s="8"/>
      <c r="AJB26" s="8"/>
      <c r="AJC26" s="8"/>
      <c r="AJD26" s="8"/>
      <c r="AJE26" s="8"/>
      <c r="AJF26" s="8"/>
      <c r="AJG26" s="8"/>
      <c r="AJH26" s="8"/>
      <c r="AJI26" s="8"/>
      <c r="AJJ26" s="8"/>
      <c r="AJK26" s="8"/>
      <c r="AJL26" s="8"/>
      <c r="AJM26" s="8"/>
      <c r="AJN26" s="8"/>
      <c r="AJO26" s="8"/>
      <c r="AJP26" s="8"/>
      <c r="AJQ26" s="8"/>
      <c r="AJR26" s="8"/>
      <c r="AJS26" s="8"/>
      <c r="AJT26" s="8"/>
      <c r="AJU26" s="8"/>
      <c r="AJV26" s="8"/>
      <c r="AJW26" s="8"/>
      <c r="AJX26" s="8"/>
      <c r="AJY26" s="8"/>
      <c r="AJZ26" s="8"/>
      <c r="AKA26" s="8"/>
      <c r="AKB26" s="8"/>
      <c r="AKC26" s="8"/>
      <c r="AKD26" s="8"/>
      <c r="AKE26" s="8"/>
      <c r="AKF26" s="8"/>
      <c r="AKG26" s="8"/>
      <c r="AKH26" s="8"/>
      <c r="AKI26" s="8"/>
      <c r="AKJ26" s="8"/>
      <c r="AKK26" s="8"/>
      <c r="AKL26" s="8"/>
      <c r="AKM26" s="8"/>
      <c r="AKN26" s="8"/>
      <c r="AKO26" s="8"/>
      <c r="AKP26" s="8"/>
      <c r="AKQ26" s="8"/>
      <c r="AKR26" s="8"/>
      <c r="AKS26" s="8"/>
      <c r="AKT26" s="8"/>
      <c r="AKU26" s="8"/>
      <c r="AKV26" s="8"/>
      <c r="AKW26" s="8"/>
      <c r="AKX26" s="8"/>
      <c r="AKY26" s="8"/>
      <c r="AKZ26" s="8"/>
      <c r="ALA26" s="8"/>
      <c r="ALB26" s="8"/>
      <c r="ALC26" s="8"/>
      <c r="ALD26" s="8"/>
      <c r="ALE26" s="8"/>
      <c r="ALF26" s="8"/>
      <c r="ALG26" s="8"/>
      <c r="ALH26" s="8"/>
      <c r="ALI26" s="8"/>
      <c r="ALJ26" s="8"/>
      <c r="ALK26" s="8"/>
      <c r="ALL26" s="8"/>
    </row>
    <row r="27" spans="1:1000" x14ac:dyDescent="0.25">
      <c r="A27" t="str">
        <f ca="1">IF(_xll.TM1RPTELISCONSOLIDATED($C$19,$C27),IF(_xll.TM1RPTELLEV($C$19,$C27)&lt;=3,_xll.TM1RPTELLEV($C$19,$C27),"D"),IF($F$13="Units Sold","D","N"))</f>
        <v>N</v>
      </c>
      <c r="C27" s="89" t="s">
        <v>83</v>
      </c>
      <c r="D27" s="44" t="str">
        <f ca="1">_xll.DBRW($C$9,$C$13,$D$13,$C27,D$18,$H$13,$J$13,$F$13)</f>
        <v/>
      </c>
      <c r="E27" s="44" t="str">
        <f ca="1">_xll.DBRW($C$9,$C$13,$D$13,$C27,E$18,$H$13,$J$13,$F$13)</f>
        <v/>
      </c>
      <c r="F27" s="44" t="str">
        <f ca="1">_xll.DBRW($C$9,$C$13,$D$13,$C27,F$18,$H$13,$J$13,$F$13)</f>
        <v/>
      </c>
      <c r="G27" s="44" t="str">
        <f ca="1">_xll.DBRW($C$9,$C$13,$D$13,$C27,G$18,$H$13,$J$13,$F$13)</f>
        <v/>
      </c>
      <c r="H27" s="44" t="str">
        <f ca="1">_xll.DBRW($C$9,$C$13,$D$13,$C27,H$18,$H$13,$J$13,$F$13)</f>
        <v/>
      </c>
      <c r="I27" s="44" t="str">
        <f ca="1">_xll.DBRW($C$9,$C$13,$D$13,$C27,I$18,$H$13,$J$13,$F$13)</f>
        <v/>
      </c>
      <c r="J27" s="44" t="str">
        <f ca="1">_xll.DBRW($C$9,$C$13,$D$13,$C27,J$18,$H$13,$J$13,$F$13)</f>
        <v/>
      </c>
      <c r="K27" s="44" t="str">
        <f ca="1">_xll.DBRW($C$9,$C$13,$D$13,$C27,K$18,$H$13,$J$13,$F$13)</f>
        <v/>
      </c>
      <c r="L27" s="44" t="str">
        <f ca="1">_xll.DBRW($C$9,$C$13,$D$13,$C27,L$18,$H$13,$J$13,$F$13)</f>
        <v/>
      </c>
      <c r="M27" s="44" t="str">
        <f ca="1">_xll.DBRW($C$9,$C$13,$D$13,$C27,M$18,$H$13,$J$13,$F$13)</f>
        <v/>
      </c>
      <c r="N27" s="44" t="str">
        <f ca="1">_xll.DBRW($C$9,$C$13,$D$13,$C27,N$18,$H$13,$J$13,$F$13)</f>
        <v/>
      </c>
      <c r="O27" s="44" t="str">
        <f ca="1">_xll.DBRW($C$9,$C$13,$D$13,$C27,O$18,$H$13,$J$13,$F$13)</f>
        <v/>
      </c>
      <c r="P27" s="44" t="str">
        <f ca="1">_xll.DBRW($C$9,$C$13,$D$13,$C27,P$18,$H$13,$J$13,$F$13)</f>
        <v/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  <c r="AAA27" s="8"/>
      <c r="AAB27" s="8"/>
      <c r="AAC27" s="8"/>
      <c r="AAD27" s="8"/>
      <c r="AAE27" s="8"/>
      <c r="AAF27" s="8"/>
      <c r="AAG27" s="8"/>
      <c r="AAH27" s="8"/>
      <c r="AAI27" s="8"/>
      <c r="AAJ27" s="8"/>
      <c r="AAK27" s="8"/>
      <c r="AAL27" s="8"/>
      <c r="AAM27" s="8"/>
      <c r="AAN27" s="8"/>
      <c r="AAO27" s="8"/>
      <c r="AAP27" s="8"/>
      <c r="AAQ27" s="8"/>
      <c r="AAR27" s="8"/>
      <c r="AAS27" s="8"/>
      <c r="AAT27" s="8"/>
      <c r="AAU27" s="8"/>
      <c r="AAV27" s="8"/>
      <c r="AAW27" s="8"/>
      <c r="AAX27" s="8"/>
      <c r="AAY27" s="8"/>
      <c r="AAZ27" s="8"/>
      <c r="ABA27" s="8"/>
      <c r="ABB27" s="8"/>
      <c r="ABC27" s="8"/>
      <c r="ABD27" s="8"/>
      <c r="ABE27" s="8"/>
      <c r="ABF27" s="8"/>
      <c r="ABG27" s="8"/>
      <c r="ABH27" s="8"/>
      <c r="ABI27" s="8"/>
      <c r="ABJ27" s="8"/>
      <c r="ABK27" s="8"/>
      <c r="ABL27" s="8"/>
      <c r="ABM27" s="8"/>
      <c r="ABN27" s="8"/>
      <c r="ABO27" s="8"/>
      <c r="ABP27" s="8"/>
      <c r="ABQ27" s="8"/>
      <c r="ABR27" s="8"/>
      <c r="ABS27" s="8"/>
      <c r="ABT27" s="8"/>
      <c r="ABU27" s="8"/>
      <c r="ABV27" s="8"/>
      <c r="ABW27" s="8"/>
      <c r="ABX27" s="8"/>
      <c r="ABY27" s="8"/>
      <c r="ABZ27" s="8"/>
      <c r="ACA27" s="8"/>
      <c r="ACB27" s="8"/>
      <c r="ACC27" s="8"/>
      <c r="ACD27" s="8"/>
      <c r="ACE27" s="8"/>
      <c r="ACF27" s="8"/>
      <c r="ACG27" s="8"/>
      <c r="ACH27" s="8"/>
      <c r="ACI27" s="8"/>
      <c r="ACJ27" s="8"/>
      <c r="ACK27" s="8"/>
      <c r="ACL27" s="8"/>
      <c r="ACM27" s="8"/>
      <c r="ACN27" s="8"/>
      <c r="ACO27" s="8"/>
      <c r="ACP27" s="8"/>
      <c r="ACQ27" s="8"/>
      <c r="ACR27" s="8"/>
      <c r="ACS27" s="8"/>
      <c r="ACT27" s="8"/>
      <c r="ACU27" s="8"/>
      <c r="ACV27" s="8"/>
      <c r="ACW27" s="8"/>
      <c r="ACX27" s="8"/>
      <c r="ACY27" s="8"/>
      <c r="ACZ27" s="8"/>
      <c r="ADA27" s="8"/>
      <c r="ADB27" s="8"/>
      <c r="ADC27" s="8"/>
      <c r="ADD27" s="8"/>
      <c r="ADE27" s="8"/>
      <c r="ADF27" s="8"/>
      <c r="ADG27" s="8"/>
      <c r="ADH27" s="8"/>
      <c r="ADI27" s="8"/>
      <c r="ADJ27" s="8"/>
      <c r="ADK27" s="8"/>
      <c r="ADL27" s="8"/>
      <c r="ADM27" s="8"/>
      <c r="ADN27" s="8"/>
      <c r="ADO27" s="8"/>
      <c r="ADP27" s="8"/>
      <c r="ADQ27" s="8"/>
      <c r="ADR27" s="8"/>
      <c r="ADS27" s="8"/>
      <c r="ADT27" s="8"/>
      <c r="ADU27" s="8"/>
      <c r="ADV27" s="8"/>
      <c r="ADW27" s="8"/>
      <c r="ADX27" s="8"/>
      <c r="ADY27" s="8"/>
      <c r="ADZ27" s="8"/>
      <c r="AEA27" s="8"/>
      <c r="AEB27" s="8"/>
      <c r="AEC27" s="8"/>
      <c r="AED27" s="8"/>
      <c r="AEE27" s="8"/>
      <c r="AEF27" s="8"/>
      <c r="AEG27" s="8"/>
      <c r="AEH27" s="8"/>
      <c r="AEI27" s="8"/>
      <c r="AEJ27" s="8"/>
      <c r="AEK27" s="8"/>
      <c r="AEL27" s="8"/>
      <c r="AEM27" s="8"/>
      <c r="AEN27" s="8"/>
      <c r="AEO27" s="8"/>
      <c r="AEP27" s="8"/>
      <c r="AEQ27" s="8"/>
      <c r="AER27" s="8"/>
      <c r="AES27" s="8"/>
      <c r="AET27" s="8"/>
      <c r="AEU27" s="8"/>
      <c r="AEV27" s="8"/>
      <c r="AEW27" s="8"/>
      <c r="AEX27" s="8"/>
      <c r="AEY27" s="8"/>
      <c r="AEZ27" s="8"/>
      <c r="AFA27" s="8"/>
      <c r="AFB27" s="8"/>
      <c r="AFC27" s="8"/>
      <c r="AFD27" s="8"/>
      <c r="AFE27" s="8"/>
      <c r="AFF27" s="8"/>
      <c r="AFG27" s="8"/>
      <c r="AFH27" s="8"/>
      <c r="AFI27" s="8"/>
      <c r="AFJ27" s="8"/>
      <c r="AFK27" s="8"/>
      <c r="AFL27" s="8"/>
      <c r="AFM27" s="8"/>
      <c r="AFN27" s="8"/>
      <c r="AFO27" s="8"/>
      <c r="AFP27" s="8"/>
      <c r="AFQ27" s="8"/>
      <c r="AFR27" s="8"/>
      <c r="AFS27" s="8"/>
      <c r="AFT27" s="8"/>
      <c r="AFU27" s="8"/>
      <c r="AFV27" s="8"/>
      <c r="AFW27" s="8"/>
      <c r="AFX27" s="8"/>
      <c r="AFY27" s="8"/>
      <c r="AFZ27" s="8"/>
      <c r="AGA27" s="8"/>
      <c r="AGB27" s="8"/>
      <c r="AGC27" s="8"/>
      <c r="AGD27" s="8"/>
      <c r="AGE27" s="8"/>
      <c r="AGF27" s="8"/>
      <c r="AGG27" s="8"/>
      <c r="AGH27" s="8"/>
      <c r="AGI27" s="8"/>
      <c r="AGJ27" s="8"/>
      <c r="AGK27" s="8"/>
      <c r="AGL27" s="8"/>
      <c r="AGM27" s="8"/>
      <c r="AGN27" s="8"/>
      <c r="AGO27" s="8"/>
      <c r="AGP27" s="8"/>
      <c r="AGQ27" s="8"/>
      <c r="AGR27" s="8"/>
      <c r="AGS27" s="8"/>
      <c r="AGT27" s="8"/>
      <c r="AGU27" s="8"/>
      <c r="AGV27" s="8"/>
      <c r="AGW27" s="8"/>
      <c r="AGX27" s="8"/>
      <c r="AGY27" s="8"/>
      <c r="AGZ27" s="8"/>
      <c r="AHA27" s="8"/>
      <c r="AHB27" s="8"/>
      <c r="AHC27" s="8"/>
      <c r="AHD27" s="8"/>
      <c r="AHE27" s="8"/>
      <c r="AHF27" s="8"/>
      <c r="AHG27" s="8"/>
      <c r="AHH27" s="8"/>
      <c r="AHI27" s="8"/>
      <c r="AHJ27" s="8"/>
      <c r="AHK27" s="8"/>
      <c r="AHL27" s="8"/>
      <c r="AHM27" s="8"/>
      <c r="AHN27" s="8"/>
      <c r="AHO27" s="8"/>
      <c r="AHP27" s="8"/>
      <c r="AHQ27" s="8"/>
      <c r="AHR27" s="8"/>
      <c r="AHS27" s="8"/>
      <c r="AHT27" s="8"/>
      <c r="AHU27" s="8"/>
      <c r="AHV27" s="8"/>
      <c r="AHW27" s="8"/>
      <c r="AHX27" s="8"/>
      <c r="AHY27" s="8"/>
      <c r="AHZ27" s="8"/>
      <c r="AIA27" s="8"/>
      <c r="AIB27" s="8"/>
      <c r="AIC27" s="8"/>
      <c r="AID27" s="8"/>
      <c r="AIE27" s="8"/>
      <c r="AIF27" s="8"/>
      <c r="AIG27" s="8"/>
      <c r="AIH27" s="8"/>
      <c r="AII27" s="8"/>
      <c r="AIJ27" s="8"/>
      <c r="AIK27" s="8"/>
      <c r="AIL27" s="8"/>
      <c r="AIM27" s="8"/>
      <c r="AIN27" s="8"/>
      <c r="AIO27" s="8"/>
      <c r="AIP27" s="8"/>
      <c r="AIQ27" s="8"/>
      <c r="AIR27" s="8"/>
      <c r="AIS27" s="8"/>
      <c r="AIT27" s="8"/>
      <c r="AIU27" s="8"/>
      <c r="AIV27" s="8"/>
      <c r="AIW27" s="8"/>
      <c r="AIX27" s="8"/>
      <c r="AIY27" s="8"/>
      <c r="AIZ27" s="8"/>
      <c r="AJA27" s="8"/>
      <c r="AJB27" s="8"/>
      <c r="AJC27" s="8"/>
      <c r="AJD27" s="8"/>
      <c r="AJE27" s="8"/>
      <c r="AJF27" s="8"/>
      <c r="AJG27" s="8"/>
      <c r="AJH27" s="8"/>
      <c r="AJI27" s="8"/>
      <c r="AJJ27" s="8"/>
      <c r="AJK27" s="8"/>
      <c r="AJL27" s="8"/>
      <c r="AJM27" s="8"/>
      <c r="AJN27" s="8"/>
      <c r="AJO27" s="8"/>
      <c r="AJP27" s="8"/>
      <c r="AJQ27" s="8"/>
      <c r="AJR27" s="8"/>
      <c r="AJS27" s="8"/>
      <c r="AJT27" s="8"/>
      <c r="AJU27" s="8"/>
      <c r="AJV27" s="8"/>
      <c r="AJW27" s="8"/>
      <c r="AJX27" s="8"/>
      <c r="AJY27" s="8"/>
      <c r="AJZ27" s="8"/>
      <c r="AKA27" s="8"/>
      <c r="AKB27" s="8"/>
      <c r="AKC27" s="8"/>
      <c r="AKD27" s="8"/>
      <c r="AKE27" s="8"/>
      <c r="AKF27" s="8"/>
      <c r="AKG27" s="8"/>
      <c r="AKH27" s="8"/>
      <c r="AKI27" s="8"/>
      <c r="AKJ27" s="8"/>
      <c r="AKK27" s="8"/>
      <c r="AKL27" s="8"/>
      <c r="AKM27" s="8"/>
      <c r="AKN27" s="8"/>
      <c r="AKO27" s="8"/>
      <c r="AKP27" s="8"/>
      <c r="AKQ27" s="8"/>
      <c r="AKR27" s="8"/>
      <c r="AKS27" s="8"/>
      <c r="AKT27" s="8"/>
      <c r="AKU27" s="8"/>
      <c r="AKV27" s="8"/>
      <c r="AKW27" s="8"/>
      <c r="AKX27" s="8"/>
      <c r="AKY27" s="8"/>
      <c r="AKZ27" s="8"/>
      <c r="ALA27" s="8"/>
      <c r="ALB27" s="8"/>
      <c r="ALC27" s="8"/>
      <c r="ALD27" s="8"/>
      <c r="ALE27" s="8"/>
      <c r="ALF27" s="8"/>
      <c r="ALG27" s="8"/>
      <c r="ALH27" s="8"/>
      <c r="ALI27" s="8"/>
      <c r="ALJ27" s="8"/>
      <c r="ALK27" s="8"/>
      <c r="ALL27" s="8"/>
    </row>
    <row r="28" spans="1:1000" x14ac:dyDescent="0.25">
      <c r="A28" t="str">
        <f ca="1">IF(_xll.TM1RPTELISCONSOLIDATED($C$19,$C28),IF(_xll.TM1RPTELLEV($C$19,$C28)&lt;=3,_xll.TM1RPTELLEV($C$19,$C28),"D"),IF($F$13="Units Sold","D","N"))</f>
        <v>N</v>
      </c>
      <c r="C28" s="21" t="s">
        <v>84</v>
      </c>
      <c r="D28" s="44" t="str">
        <f ca="1">_xll.DBRW($C$9,$C$13,$D$13,$C28,D$18,$H$13,$J$13,$F$13)</f>
        <v/>
      </c>
      <c r="E28" s="44" t="str">
        <f ca="1">_xll.DBRW($C$9,$C$13,$D$13,$C28,E$18,$H$13,$J$13,$F$13)</f>
        <v/>
      </c>
      <c r="F28" s="44" t="str">
        <f ca="1">_xll.DBRW($C$9,$C$13,$D$13,$C28,F$18,$H$13,$J$13,$F$13)</f>
        <v/>
      </c>
      <c r="G28" s="44" t="str">
        <f ca="1">_xll.DBRW($C$9,$C$13,$D$13,$C28,G$18,$H$13,$J$13,$F$13)</f>
        <v/>
      </c>
      <c r="H28" s="44" t="str">
        <f ca="1">_xll.DBRW($C$9,$C$13,$D$13,$C28,H$18,$H$13,$J$13,$F$13)</f>
        <v/>
      </c>
      <c r="I28" s="44" t="str">
        <f ca="1">_xll.DBRW($C$9,$C$13,$D$13,$C28,I$18,$H$13,$J$13,$F$13)</f>
        <v/>
      </c>
      <c r="J28" s="44" t="str">
        <f ca="1">_xll.DBRW($C$9,$C$13,$D$13,$C28,J$18,$H$13,$J$13,$F$13)</f>
        <v/>
      </c>
      <c r="K28" s="44" t="str">
        <f ca="1">_xll.DBRW($C$9,$C$13,$D$13,$C28,K$18,$H$13,$J$13,$F$13)</f>
        <v/>
      </c>
      <c r="L28" s="44" t="str">
        <f ca="1">_xll.DBRW($C$9,$C$13,$D$13,$C28,L$18,$H$13,$J$13,$F$13)</f>
        <v/>
      </c>
      <c r="M28" s="44" t="str">
        <f ca="1">_xll.DBRW($C$9,$C$13,$D$13,$C28,M$18,$H$13,$J$13,$F$13)</f>
        <v/>
      </c>
      <c r="N28" s="44" t="str">
        <f ca="1">_xll.DBRW($C$9,$C$13,$D$13,$C28,N$18,$H$13,$J$13,$F$13)</f>
        <v/>
      </c>
      <c r="O28" s="44" t="str">
        <f ca="1">_xll.DBRW($C$9,$C$13,$D$13,$C28,O$18,$H$13,$J$13,$F$13)</f>
        <v/>
      </c>
      <c r="P28" s="44" t="str">
        <f ca="1">_xll.DBRW($C$9,$C$13,$D$13,$C28,P$18,$H$13,$J$13,$F$13)</f>
        <v/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  <c r="AAA28" s="8"/>
      <c r="AAB28" s="8"/>
      <c r="AAC28" s="8"/>
      <c r="AAD28" s="8"/>
      <c r="AAE28" s="8"/>
      <c r="AAF28" s="8"/>
      <c r="AAG28" s="8"/>
      <c r="AAH28" s="8"/>
      <c r="AAI28" s="8"/>
      <c r="AAJ28" s="8"/>
      <c r="AAK28" s="8"/>
      <c r="AAL28" s="8"/>
      <c r="AAM28" s="8"/>
      <c r="AAN28" s="8"/>
      <c r="AAO28" s="8"/>
      <c r="AAP28" s="8"/>
      <c r="AAQ28" s="8"/>
      <c r="AAR28" s="8"/>
      <c r="AAS28" s="8"/>
      <c r="AAT28" s="8"/>
      <c r="AAU28" s="8"/>
      <c r="AAV28" s="8"/>
      <c r="AAW28" s="8"/>
      <c r="AAX28" s="8"/>
      <c r="AAY28" s="8"/>
      <c r="AAZ28" s="8"/>
      <c r="ABA28" s="8"/>
      <c r="ABB28" s="8"/>
      <c r="ABC28" s="8"/>
      <c r="ABD28" s="8"/>
      <c r="ABE28" s="8"/>
      <c r="ABF28" s="8"/>
      <c r="ABG28" s="8"/>
      <c r="ABH28" s="8"/>
      <c r="ABI28" s="8"/>
      <c r="ABJ28" s="8"/>
      <c r="ABK28" s="8"/>
      <c r="ABL28" s="8"/>
      <c r="ABM28" s="8"/>
      <c r="ABN28" s="8"/>
      <c r="ABO28" s="8"/>
      <c r="ABP28" s="8"/>
      <c r="ABQ28" s="8"/>
      <c r="ABR28" s="8"/>
      <c r="ABS28" s="8"/>
      <c r="ABT28" s="8"/>
      <c r="ABU28" s="8"/>
      <c r="ABV28" s="8"/>
      <c r="ABW28" s="8"/>
      <c r="ABX28" s="8"/>
      <c r="ABY28" s="8"/>
      <c r="ABZ28" s="8"/>
      <c r="ACA28" s="8"/>
      <c r="ACB28" s="8"/>
      <c r="ACC28" s="8"/>
      <c r="ACD28" s="8"/>
      <c r="ACE28" s="8"/>
      <c r="ACF28" s="8"/>
      <c r="ACG28" s="8"/>
      <c r="ACH28" s="8"/>
      <c r="ACI28" s="8"/>
      <c r="ACJ28" s="8"/>
      <c r="ACK28" s="8"/>
      <c r="ACL28" s="8"/>
      <c r="ACM28" s="8"/>
      <c r="ACN28" s="8"/>
      <c r="ACO28" s="8"/>
      <c r="ACP28" s="8"/>
      <c r="ACQ28" s="8"/>
      <c r="ACR28" s="8"/>
      <c r="ACS28" s="8"/>
      <c r="ACT28" s="8"/>
      <c r="ACU28" s="8"/>
      <c r="ACV28" s="8"/>
      <c r="ACW28" s="8"/>
      <c r="ACX28" s="8"/>
      <c r="ACY28" s="8"/>
      <c r="ACZ28" s="8"/>
      <c r="ADA28" s="8"/>
      <c r="ADB28" s="8"/>
      <c r="ADC28" s="8"/>
      <c r="ADD28" s="8"/>
      <c r="ADE28" s="8"/>
      <c r="ADF28" s="8"/>
      <c r="ADG28" s="8"/>
      <c r="ADH28" s="8"/>
      <c r="ADI28" s="8"/>
      <c r="ADJ28" s="8"/>
      <c r="ADK28" s="8"/>
      <c r="ADL28" s="8"/>
      <c r="ADM28" s="8"/>
      <c r="ADN28" s="8"/>
      <c r="ADO28" s="8"/>
      <c r="ADP28" s="8"/>
      <c r="ADQ28" s="8"/>
      <c r="ADR28" s="8"/>
      <c r="ADS28" s="8"/>
      <c r="ADT28" s="8"/>
      <c r="ADU28" s="8"/>
      <c r="ADV28" s="8"/>
      <c r="ADW28" s="8"/>
      <c r="ADX28" s="8"/>
      <c r="ADY28" s="8"/>
      <c r="ADZ28" s="8"/>
      <c r="AEA28" s="8"/>
      <c r="AEB28" s="8"/>
      <c r="AEC28" s="8"/>
      <c r="AED28" s="8"/>
      <c r="AEE28" s="8"/>
      <c r="AEF28" s="8"/>
      <c r="AEG28" s="8"/>
      <c r="AEH28" s="8"/>
      <c r="AEI28" s="8"/>
      <c r="AEJ28" s="8"/>
      <c r="AEK28" s="8"/>
      <c r="AEL28" s="8"/>
      <c r="AEM28" s="8"/>
      <c r="AEN28" s="8"/>
      <c r="AEO28" s="8"/>
      <c r="AEP28" s="8"/>
      <c r="AEQ28" s="8"/>
      <c r="AER28" s="8"/>
      <c r="AES28" s="8"/>
      <c r="AET28" s="8"/>
      <c r="AEU28" s="8"/>
      <c r="AEV28" s="8"/>
      <c r="AEW28" s="8"/>
      <c r="AEX28" s="8"/>
      <c r="AEY28" s="8"/>
      <c r="AEZ28" s="8"/>
      <c r="AFA28" s="8"/>
      <c r="AFB28" s="8"/>
      <c r="AFC28" s="8"/>
      <c r="AFD28" s="8"/>
      <c r="AFE28" s="8"/>
      <c r="AFF28" s="8"/>
      <c r="AFG28" s="8"/>
      <c r="AFH28" s="8"/>
      <c r="AFI28" s="8"/>
      <c r="AFJ28" s="8"/>
      <c r="AFK28" s="8"/>
      <c r="AFL28" s="8"/>
      <c r="AFM28" s="8"/>
      <c r="AFN28" s="8"/>
      <c r="AFO28" s="8"/>
      <c r="AFP28" s="8"/>
      <c r="AFQ28" s="8"/>
      <c r="AFR28" s="8"/>
      <c r="AFS28" s="8"/>
      <c r="AFT28" s="8"/>
      <c r="AFU28" s="8"/>
      <c r="AFV28" s="8"/>
      <c r="AFW28" s="8"/>
      <c r="AFX28" s="8"/>
      <c r="AFY28" s="8"/>
      <c r="AFZ28" s="8"/>
      <c r="AGA28" s="8"/>
      <c r="AGB28" s="8"/>
      <c r="AGC28" s="8"/>
      <c r="AGD28" s="8"/>
      <c r="AGE28" s="8"/>
      <c r="AGF28" s="8"/>
      <c r="AGG28" s="8"/>
      <c r="AGH28" s="8"/>
      <c r="AGI28" s="8"/>
      <c r="AGJ28" s="8"/>
      <c r="AGK28" s="8"/>
      <c r="AGL28" s="8"/>
      <c r="AGM28" s="8"/>
      <c r="AGN28" s="8"/>
      <c r="AGO28" s="8"/>
      <c r="AGP28" s="8"/>
      <c r="AGQ28" s="8"/>
      <c r="AGR28" s="8"/>
      <c r="AGS28" s="8"/>
      <c r="AGT28" s="8"/>
      <c r="AGU28" s="8"/>
      <c r="AGV28" s="8"/>
      <c r="AGW28" s="8"/>
      <c r="AGX28" s="8"/>
      <c r="AGY28" s="8"/>
      <c r="AGZ28" s="8"/>
      <c r="AHA28" s="8"/>
      <c r="AHB28" s="8"/>
      <c r="AHC28" s="8"/>
      <c r="AHD28" s="8"/>
      <c r="AHE28" s="8"/>
      <c r="AHF28" s="8"/>
      <c r="AHG28" s="8"/>
      <c r="AHH28" s="8"/>
      <c r="AHI28" s="8"/>
      <c r="AHJ28" s="8"/>
      <c r="AHK28" s="8"/>
      <c r="AHL28" s="8"/>
      <c r="AHM28" s="8"/>
      <c r="AHN28" s="8"/>
      <c r="AHO28" s="8"/>
      <c r="AHP28" s="8"/>
      <c r="AHQ28" s="8"/>
      <c r="AHR28" s="8"/>
      <c r="AHS28" s="8"/>
      <c r="AHT28" s="8"/>
      <c r="AHU28" s="8"/>
      <c r="AHV28" s="8"/>
      <c r="AHW28" s="8"/>
      <c r="AHX28" s="8"/>
      <c r="AHY28" s="8"/>
      <c r="AHZ28" s="8"/>
      <c r="AIA28" s="8"/>
      <c r="AIB28" s="8"/>
      <c r="AIC28" s="8"/>
      <c r="AID28" s="8"/>
      <c r="AIE28" s="8"/>
      <c r="AIF28" s="8"/>
      <c r="AIG28" s="8"/>
      <c r="AIH28" s="8"/>
      <c r="AII28" s="8"/>
      <c r="AIJ28" s="8"/>
      <c r="AIK28" s="8"/>
      <c r="AIL28" s="8"/>
      <c r="AIM28" s="8"/>
      <c r="AIN28" s="8"/>
      <c r="AIO28" s="8"/>
      <c r="AIP28" s="8"/>
      <c r="AIQ28" s="8"/>
      <c r="AIR28" s="8"/>
      <c r="AIS28" s="8"/>
      <c r="AIT28" s="8"/>
      <c r="AIU28" s="8"/>
      <c r="AIV28" s="8"/>
      <c r="AIW28" s="8"/>
      <c r="AIX28" s="8"/>
      <c r="AIY28" s="8"/>
      <c r="AIZ28" s="8"/>
      <c r="AJA28" s="8"/>
      <c r="AJB28" s="8"/>
      <c r="AJC28" s="8"/>
      <c r="AJD28" s="8"/>
      <c r="AJE28" s="8"/>
      <c r="AJF28" s="8"/>
      <c r="AJG28" s="8"/>
      <c r="AJH28" s="8"/>
      <c r="AJI28" s="8"/>
      <c r="AJJ28" s="8"/>
      <c r="AJK28" s="8"/>
      <c r="AJL28" s="8"/>
      <c r="AJM28" s="8"/>
      <c r="AJN28" s="8"/>
      <c r="AJO28" s="8"/>
      <c r="AJP28" s="8"/>
      <c r="AJQ28" s="8"/>
      <c r="AJR28" s="8"/>
      <c r="AJS28" s="8"/>
      <c r="AJT28" s="8"/>
      <c r="AJU28" s="8"/>
      <c r="AJV28" s="8"/>
      <c r="AJW28" s="8"/>
      <c r="AJX28" s="8"/>
      <c r="AJY28" s="8"/>
      <c r="AJZ28" s="8"/>
      <c r="AKA28" s="8"/>
      <c r="AKB28" s="8"/>
      <c r="AKC28" s="8"/>
      <c r="AKD28" s="8"/>
      <c r="AKE28" s="8"/>
      <c r="AKF28" s="8"/>
      <c r="AKG28" s="8"/>
      <c r="AKH28" s="8"/>
      <c r="AKI28" s="8"/>
      <c r="AKJ28" s="8"/>
      <c r="AKK28" s="8"/>
      <c r="AKL28" s="8"/>
      <c r="AKM28" s="8"/>
      <c r="AKN28" s="8"/>
      <c r="AKO28" s="8"/>
      <c r="AKP28" s="8"/>
      <c r="AKQ28" s="8"/>
      <c r="AKR28" s="8"/>
      <c r="AKS28" s="8"/>
      <c r="AKT28" s="8"/>
      <c r="AKU28" s="8"/>
      <c r="AKV28" s="8"/>
      <c r="AKW28" s="8"/>
      <c r="AKX28" s="8"/>
      <c r="AKY28" s="8"/>
      <c r="AKZ28" s="8"/>
      <c r="ALA28" s="8"/>
      <c r="ALB28" s="8"/>
      <c r="ALC28" s="8"/>
      <c r="ALD28" s="8"/>
      <c r="ALE28" s="8"/>
      <c r="ALF28" s="8"/>
      <c r="ALG28" s="8"/>
      <c r="ALH28" s="8"/>
      <c r="ALI28" s="8"/>
      <c r="ALJ28" s="8"/>
      <c r="ALK28" s="8"/>
      <c r="ALL28" s="8"/>
    </row>
    <row r="29" spans="1:1000" x14ac:dyDescent="0.25">
      <c r="A29" t="str">
        <f ca="1">IF(_xll.TM1RPTELISCONSOLIDATED($C$19,$C29),IF(_xll.TM1RPTELLEV($C$19,$C29)&lt;=3,_xll.TM1RPTELLEV($C$19,$C29),"D"),IF($F$13="Units Sold","D","N"))</f>
        <v>N</v>
      </c>
      <c r="C29" s="89" t="s">
        <v>85</v>
      </c>
      <c r="D29" s="44" t="str">
        <f ca="1">_xll.DBRW($C$9,$C$13,$D$13,$C29,D$18,$H$13,$J$13,$F$13)</f>
        <v/>
      </c>
      <c r="E29" s="44" t="str">
        <f ca="1">_xll.DBRW($C$9,$C$13,$D$13,$C29,E$18,$H$13,$J$13,$F$13)</f>
        <v/>
      </c>
      <c r="F29" s="44" t="str">
        <f ca="1">_xll.DBRW($C$9,$C$13,$D$13,$C29,F$18,$H$13,$J$13,$F$13)</f>
        <v/>
      </c>
      <c r="G29" s="44" t="str">
        <f ca="1">_xll.DBRW($C$9,$C$13,$D$13,$C29,G$18,$H$13,$J$13,$F$13)</f>
        <v/>
      </c>
      <c r="H29" s="44" t="str">
        <f ca="1">_xll.DBRW($C$9,$C$13,$D$13,$C29,H$18,$H$13,$J$13,$F$13)</f>
        <v/>
      </c>
      <c r="I29" s="44" t="str">
        <f ca="1">_xll.DBRW($C$9,$C$13,$D$13,$C29,I$18,$H$13,$J$13,$F$13)</f>
        <v/>
      </c>
      <c r="J29" s="44" t="str">
        <f ca="1">_xll.DBRW($C$9,$C$13,$D$13,$C29,J$18,$H$13,$J$13,$F$13)</f>
        <v/>
      </c>
      <c r="K29" s="44" t="str">
        <f ca="1">_xll.DBRW($C$9,$C$13,$D$13,$C29,K$18,$H$13,$J$13,$F$13)</f>
        <v/>
      </c>
      <c r="L29" s="44" t="str">
        <f ca="1">_xll.DBRW($C$9,$C$13,$D$13,$C29,L$18,$H$13,$J$13,$F$13)</f>
        <v/>
      </c>
      <c r="M29" s="44" t="str">
        <f ca="1">_xll.DBRW($C$9,$C$13,$D$13,$C29,M$18,$H$13,$J$13,$F$13)</f>
        <v/>
      </c>
      <c r="N29" s="44" t="str">
        <f ca="1">_xll.DBRW($C$9,$C$13,$D$13,$C29,N$18,$H$13,$J$13,$F$13)</f>
        <v/>
      </c>
      <c r="O29" s="44" t="str">
        <f ca="1">_xll.DBRW($C$9,$C$13,$D$13,$C29,O$18,$H$13,$J$13,$F$13)</f>
        <v/>
      </c>
      <c r="P29" s="44" t="str">
        <f ca="1">_xll.DBRW($C$9,$C$13,$D$13,$C29,P$18,$H$13,$J$13,$F$13)</f>
        <v/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  <c r="AAA29" s="8"/>
      <c r="AAB29" s="8"/>
      <c r="AAC29" s="8"/>
      <c r="AAD29" s="8"/>
      <c r="AAE29" s="8"/>
      <c r="AAF29" s="8"/>
      <c r="AAG29" s="8"/>
      <c r="AAH29" s="8"/>
      <c r="AAI29" s="8"/>
      <c r="AAJ29" s="8"/>
      <c r="AAK29" s="8"/>
      <c r="AAL29" s="8"/>
      <c r="AAM29" s="8"/>
      <c r="AAN29" s="8"/>
      <c r="AAO29" s="8"/>
      <c r="AAP29" s="8"/>
      <c r="AAQ29" s="8"/>
      <c r="AAR29" s="8"/>
      <c r="AAS29" s="8"/>
      <c r="AAT29" s="8"/>
      <c r="AAU29" s="8"/>
      <c r="AAV29" s="8"/>
      <c r="AAW29" s="8"/>
      <c r="AAX29" s="8"/>
      <c r="AAY29" s="8"/>
      <c r="AAZ29" s="8"/>
      <c r="ABA29" s="8"/>
      <c r="ABB29" s="8"/>
      <c r="ABC29" s="8"/>
      <c r="ABD29" s="8"/>
      <c r="ABE29" s="8"/>
      <c r="ABF29" s="8"/>
      <c r="ABG29" s="8"/>
      <c r="ABH29" s="8"/>
      <c r="ABI29" s="8"/>
      <c r="ABJ29" s="8"/>
      <c r="ABK29" s="8"/>
      <c r="ABL29" s="8"/>
      <c r="ABM29" s="8"/>
      <c r="ABN29" s="8"/>
      <c r="ABO29" s="8"/>
      <c r="ABP29" s="8"/>
      <c r="ABQ29" s="8"/>
      <c r="ABR29" s="8"/>
      <c r="ABS29" s="8"/>
      <c r="ABT29" s="8"/>
      <c r="ABU29" s="8"/>
      <c r="ABV29" s="8"/>
      <c r="ABW29" s="8"/>
      <c r="ABX29" s="8"/>
      <c r="ABY29" s="8"/>
      <c r="ABZ29" s="8"/>
      <c r="ACA29" s="8"/>
      <c r="ACB29" s="8"/>
      <c r="ACC29" s="8"/>
      <c r="ACD29" s="8"/>
      <c r="ACE29" s="8"/>
      <c r="ACF29" s="8"/>
      <c r="ACG29" s="8"/>
      <c r="ACH29" s="8"/>
      <c r="ACI29" s="8"/>
      <c r="ACJ29" s="8"/>
      <c r="ACK29" s="8"/>
      <c r="ACL29" s="8"/>
      <c r="ACM29" s="8"/>
      <c r="ACN29" s="8"/>
      <c r="ACO29" s="8"/>
      <c r="ACP29" s="8"/>
      <c r="ACQ29" s="8"/>
      <c r="ACR29" s="8"/>
      <c r="ACS29" s="8"/>
      <c r="ACT29" s="8"/>
      <c r="ACU29" s="8"/>
      <c r="ACV29" s="8"/>
      <c r="ACW29" s="8"/>
      <c r="ACX29" s="8"/>
      <c r="ACY29" s="8"/>
      <c r="ACZ29" s="8"/>
      <c r="ADA29" s="8"/>
      <c r="ADB29" s="8"/>
      <c r="ADC29" s="8"/>
      <c r="ADD29" s="8"/>
      <c r="ADE29" s="8"/>
      <c r="ADF29" s="8"/>
      <c r="ADG29" s="8"/>
      <c r="ADH29" s="8"/>
      <c r="ADI29" s="8"/>
      <c r="ADJ29" s="8"/>
      <c r="ADK29" s="8"/>
      <c r="ADL29" s="8"/>
      <c r="ADM29" s="8"/>
      <c r="ADN29" s="8"/>
      <c r="ADO29" s="8"/>
      <c r="ADP29" s="8"/>
      <c r="ADQ29" s="8"/>
      <c r="ADR29" s="8"/>
      <c r="ADS29" s="8"/>
      <c r="ADT29" s="8"/>
      <c r="ADU29" s="8"/>
      <c r="ADV29" s="8"/>
      <c r="ADW29" s="8"/>
      <c r="ADX29" s="8"/>
      <c r="ADY29" s="8"/>
      <c r="ADZ29" s="8"/>
      <c r="AEA29" s="8"/>
      <c r="AEB29" s="8"/>
      <c r="AEC29" s="8"/>
      <c r="AED29" s="8"/>
      <c r="AEE29" s="8"/>
      <c r="AEF29" s="8"/>
      <c r="AEG29" s="8"/>
      <c r="AEH29" s="8"/>
      <c r="AEI29" s="8"/>
      <c r="AEJ29" s="8"/>
      <c r="AEK29" s="8"/>
      <c r="AEL29" s="8"/>
      <c r="AEM29" s="8"/>
      <c r="AEN29" s="8"/>
      <c r="AEO29" s="8"/>
      <c r="AEP29" s="8"/>
      <c r="AEQ29" s="8"/>
      <c r="AER29" s="8"/>
      <c r="AES29" s="8"/>
      <c r="AET29" s="8"/>
      <c r="AEU29" s="8"/>
      <c r="AEV29" s="8"/>
      <c r="AEW29" s="8"/>
      <c r="AEX29" s="8"/>
      <c r="AEY29" s="8"/>
      <c r="AEZ29" s="8"/>
      <c r="AFA29" s="8"/>
      <c r="AFB29" s="8"/>
      <c r="AFC29" s="8"/>
      <c r="AFD29" s="8"/>
      <c r="AFE29" s="8"/>
      <c r="AFF29" s="8"/>
      <c r="AFG29" s="8"/>
      <c r="AFH29" s="8"/>
      <c r="AFI29" s="8"/>
      <c r="AFJ29" s="8"/>
      <c r="AFK29" s="8"/>
      <c r="AFL29" s="8"/>
      <c r="AFM29" s="8"/>
      <c r="AFN29" s="8"/>
      <c r="AFO29" s="8"/>
      <c r="AFP29" s="8"/>
      <c r="AFQ29" s="8"/>
      <c r="AFR29" s="8"/>
      <c r="AFS29" s="8"/>
      <c r="AFT29" s="8"/>
      <c r="AFU29" s="8"/>
      <c r="AFV29" s="8"/>
      <c r="AFW29" s="8"/>
      <c r="AFX29" s="8"/>
      <c r="AFY29" s="8"/>
      <c r="AFZ29" s="8"/>
      <c r="AGA29" s="8"/>
      <c r="AGB29" s="8"/>
      <c r="AGC29" s="8"/>
      <c r="AGD29" s="8"/>
      <c r="AGE29" s="8"/>
      <c r="AGF29" s="8"/>
      <c r="AGG29" s="8"/>
      <c r="AGH29" s="8"/>
      <c r="AGI29" s="8"/>
      <c r="AGJ29" s="8"/>
      <c r="AGK29" s="8"/>
      <c r="AGL29" s="8"/>
      <c r="AGM29" s="8"/>
      <c r="AGN29" s="8"/>
      <c r="AGO29" s="8"/>
      <c r="AGP29" s="8"/>
      <c r="AGQ29" s="8"/>
      <c r="AGR29" s="8"/>
      <c r="AGS29" s="8"/>
      <c r="AGT29" s="8"/>
      <c r="AGU29" s="8"/>
      <c r="AGV29" s="8"/>
      <c r="AGW29" s="8"/>
      <c r="AGX29" s="8"/>
      <c r="AGY29" s="8"/>
      <c r="AGZ29" s="8"/>
      <c r="AHA29" s="8"/>
      <c r="AHB29" s="8"/>
      <c r="AHC29" s="8"/>
      <c r="AHD29" s="8"/>
      <c r="AHE29" s="8"/>
      <c r="AHF29" s="8"/>
      <c r="AHG29" s="8"/>
      <c r="AHH29" s="8"/>
      <c r="AHI29" s="8"/>
      <c r="AHJ29" s="8"/>
      <c r="AHK29" s="8"/>
      <c r="AHL29" s="8"/>
      <c r="AHM29" s="8"/>
      <c r="AHN29" s="8"/>
      <c r="AHO29" s="8"/>
      <c r="AHP29" s="8"/>
      <c r="AHQ29" s="8"/>
      <c r="AHR29" s="8"/>
      <c r="AHS29" s="8"/>
      <c r="AHT29" s="8"/>
      <c r="AHU29" s="8"/>
      <c r="AHV29" s="8"/>
      <c r="AHW29" s="8"/>
      <c r="AHX29" s="8"/>
      <c r="AHY29" s="8"/>
      <c r="AHZ29" s="8"/>
      <c r="AIA29" s="8"/>
      <c r="AIB29" s="8"/>
      <c r="AIC29" s="8"/>
      <c r="AID29" s="8"/>
      <c r="AIE29" s="8"/>
      <c r="AIF29" s="8"/>
      <c r="AIG29" s="8"/>
      <c r="AIH29" s="8"/>
      <c r="AII29" s="8"/>
      <c r="AIJ29" s="8"/>
      <c r="AIK29" s="8"/>
      <c r="AIL29" s="8"/>
      <c r="AIM29" s="8"/>
      <c r="AIN29" s="8"/>
      <c r="AIO29" s="8"/>
      <c r="AIP29" s="8"/>
      <c r="AIQ29" s="8"/>
      <c r="AIR29" s="8"/>
      <c r="AIS29" s="8"/>
      <c r="AIT29" s="8"/>
      <c r="AIU29" s="8"/>
      <c r="AIV29" s="8"/>
      <c r="AIW29" s="8"/>
      <c r="AIX29" s="8"/>
      <c r="AIY29" s="8"/>
      <c r="AIZ29" s="8"/>
      <c r="AJA29" s="8"/>
      <c r="AJB29" s="8"/>
      <c r="AJC29" s="8"/>
      <c r="AJD29" s="8"/>
      <c r="AJE29" s="8"/>
      <c r="AJF29" s="8"/>
      <c r="AJG29" s="8"/>
      <c r="AJH29" s="8"/>
      <c r="AJI29" s="8"/>
      <c r="AJJ29" s="8"/>
      <c r="AJK29" s="8"/>
      <c r="AJL29" s="8"/>
      <c r="AJM29" s="8"/>
      <c r="AJN29" s="8"/>
      <c r="AJO29" s="8"/>
      <c r="AJP29" s="8"/>
      <c r="AJQ29" s="8"/>
      <c r="AJR29" s="8"/>
      <c r="AJS29" s="8"/>
      <c r="AJT29" s="8"/>
      <c r="AJU29" s="8"/>
      <c r="AJV29" s="8"/>
      <c r="AJW29" s="8"/>
      <c r="AJX29" s="8"/>
      <c r="AJY29" s="8"/>
      <c r="AJZ29" s="8"/>
      <c r="AKA29" s="8"/>
      <c r="AKB29" s="8"/>
      <c r="AKC29" s="8"/>
      <c r="AKD29" s="8"/>
      <c r="AKE29" s="8"/>
      <c r="AKF29" s="8"/>
      <c r="AKG29" s="8"/>
      <c r="AKH29" s="8"/>
      <c r="AKI29" s="8"/>
      <c r="AKJ29" s="8"/>
      <c r="AKK29" s="8"/>
      <c r="AKL29" s="8"/>
      <c r="AKM29" s="8"/>
      <c r="AKN29" s="8"/>
      <c r="AKO29" s="8"/>
      <c r="AKP29" s="8"/>
      <c r="AKQ29" s="8"/>
      <c r="AKR29" s="8"/>
      <c r="AKS29" s="8"/>
      <c r="AKT29" s="8"/>
      <c r="AKU29" s="8"/>
      <c r="AKV29" s="8"/>
      <c r="AKW29" s="8"/>
      <c r="AKX29" s="8"/>
      <c r="AKY29" s="8"/>
      <c r="AKZ29" s="8"/>
      <c r="ALA29" s="8"/>
      <c r="ALB29" s="8"/>
      <c r="ALC29" s="8"/>
      <c r="ALD29" s="8"/>
      <c r="ALE29" s="8"/>
      <c r="ALF29" s="8"/>
      <c r="ALG29" s="8"/>
      <c r="ALH29" s="8"/>
      <c r="ALI29" s="8"/>
      <c r="ALJ29" s="8"/>
      <c r="ALK29" s="8"/>
      <c r="ALL29" s="8"/>
    </row>
    <row r="30" spans="1:1000" x14ac:dyDescent="0.25">
      <c r="A30" t="str">
        <f ca="1">IF(_xll.TM1RPTELISCONSOLIDATED($C$19,$C30),IF(_xll.TM1RPTELLEV($C$19,$C30)&lt;=3,_xll.TM1RPTELLEV($C$19,$C30),"D"),IF($F$13="Units Sold","D","N"))</f>
        <v>N</v>
      </c>
      <c r="C30" s="89" t="s">
        <v>86</v>
      </c>
      <c r="D30" s="44" t="str">
        <f ca="1">_xll.DBRW($C$9,$C$13,$D$13,$C30,D$18,$H$13,$J$13,$F$13)</f>
        <v/>
      </c>
      <c r="E30" s="44" t="str">
        <f ca="1">_xll.DBRW($C$9,$C$13,$D$13,$C30,E$18,$H$13,$J$13,$F$13)</f>
        <v/>
      </c>
      <c r="F30" s="44" t="str">
        <f ca="1">_xll.DBRW($C$9,$C$13,$D$13,$C30,F$18,$H$13,$J$13,$F$13)</f>
        <v/>
      </c>
      <c r="G30" s="44" t="str">
        <f ca="1">_xll.DBRW($C$9,$C$13,$D$13,$C30,G$18,$H$13,$J$13,$F$13)</f>
        <v/>
      </c>
      <c r="H30" s="44" t="str">
        <f ca="1">_xll.DBRW($C$9,$C$13,$D$13,$C30,H$18,$H$13,$J$13,$F$13)</f>
        <v/>
      </c>
      <c r="I30" s="44" t="str">
        <f ca="1">_xll.DBRW($C$9,$C$13,$D$13,$C30,I$18,$H$13,$J$13,$F$13)</f>
        <v/>
      </c>
      <c r="J30" s="44" t="str">
        <f ca="1">_xll.DBRW($C$9,$C$13,$D$13,$C30,J$18,$H$13,$J$13,$F$13)</f>
        <v/>
      </c>
      <c r="K30" s="44" t="str">
        <f ca="1">_xll.DBRW($C$9,$C$13,$D$13,$C30,K$18,$H$13,$J$13,$F$13)</f>
        <v/>
      </c>
      <c r="L30" s="44" t="str">
        <f ca="1">_xll.DBRW($C$9,$C$13,$D$13,$C30,L$18,$H$13,$J$13,$F$13)</f>
        <v/>
      </c>
      <c r="M30" s="44" t="str">
        <f ca="1">_xll.DBRW($C$9,$C$13,$D$13,$C30,M$18,$H$13,$J$13,$F$13)</f>
        <v/>
      </c>
      <c r="N30" s="44" t="str">
        <f ca="1">_xll.DBRW($C$9,$C$13,$D$13,$C30,N$18,$H$13,$J$13,$F$13)</f>
        <v/>
      </c>
      <c r="O30" s="44" t="str">
        <f ca="1">_xll.DBRW($C$9,$C$13,$D$13,$C30,O$18,$H$13,$J$13,$F$13)</f>
        <v/>
      </c>
      <c r="P30" s="44" t="str">
        <f ca="1">_xll.DBRW($C$9,$C$13,$D$13,$C30,P$18,$H$13,$J$13,$F$13)</f>
        <v/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  <c r="AAA30" s="8"/>
      <c r="AAB30" s="8"/>
      <c r="AAC30" s="8"/>
      <c r="AAD30" s="8"/>
      <c r="AAE30" s="8"/>
      <c r="AAF30" s="8"/>
      <c r="AAG30" s="8"/>
      <c r="AAH30" s="8"/>
      <c r="AAI30" s="8"/>
      <c r="AAJ30" s="8"/>
      <c r="AAK30" s="8"/>
      <c r="AAL30" s="8"/>
      <c r="AAM30" s="8"/>
      <c r="AAN30" s="8"/>
      <c r="AAO30" s="8"/>
      <c r="AAP30" s="8"/>
      <c r="AAQ30" s="8"/>
      <c r="AAR30" s="8"/>
      <c r="AAS30" s="8"/>
      <c r="AAT30" s="8"/>
      <c r="AAU30" s="8"/>
      <c r="AAV30" s="8"/>
      <c r="AAW30" s="8"/>
      <c r="AAX30" s="8"/>
      <c r="AAY30" s="8"/>
      <c r="AAZ30" s="8"/>
      <c r="ABA30" s="8"/>
      <c r="ABB30" s="8"/>
      <c r="ABC30" s="8"/>
      <c r="ABD30" s="8"/>
      <c r="ABE30" s="8"/>
      <c r="ABF30" s="8"/>
      <c r="ABG30" s="8"/>
      <c r="ABH30" s="8"/>
      <c r="ABI30" s="8"/>
      <c r="ABJ30" s="8"/>
      <c r="ABK30" s="8"/>
      <c r="ABL30" s="8"/>
      <c r="ABM30" s="8"/>
      <c r="ABN30" s="8"/>
      <c r="ABO30" s="8"/>
      <c r="ABP30" s="8"/>
      <c r="ABQ30" s="8"/>
      <c r="ABR30" s="8"/>
      <c r="ABS30" s="8"/>
      <c r="ABT30" s="8"/>
      <c r="ABU30" s="8"/>
      <c r="ABV30" s="8"/>
      <c r="ABW30" s="8"/>
      <c r="ABX30" s="8"/>
      <c r="ABY30" s="8"/>
      <c r="ABZ30" s="8"/>
      <c r="ACA30" s="8"/>
      <c r="ACB30" s="8"/>
      <c r="ACC30" s="8"/>
      <c r="ACD30" s="8"/>
      <c r="ACE30" s="8"/>
      <c r="ACF30" s="8"/>
      <c r="ACG30" s="8"/>
      <c r="ACH30" s="8"/>
      <c r="ACI30" s="8"/>
      <c r="ACJ30" s="8"/>
      <c r="ACK30" s="8"/>
      <c r="ACL30" s="8"/>
      <c r="ACM30" s="8"/>
      <c r="ACN30" s="8"/>
      <c r="ACO30" s="8"/>
      <c r="ACP30" s="8"/>
      <c r="ACQ30" s="8"/>
      <c r="ACR30" s="8"/>
      <c r="ACS30" s="8"/>
      <c r="ACT30" s="8"/>
      <c r="ACU30" s="8"/>
      <c r="ACV30" s="8"/>
      <c r="ACW30" s="8"/>
      <c r="ACX30" s="8"/>
      <c r="ACY30" s="8"/>
      <c r="ACZ30" s="8"/>
      <c r="ADA30" s="8"/>
      <c r="ADB30" s="8"/>
      <c r="ADC30" s="8"/>
      <c r="ADD30" s="8"/>
      <c r="ADE30" s="8"/>
      <c r="ADF30" s="8"/>
      <c r="ADG30" s="8"/>
      <c r="ADH30" s="8"/>
      <c r="ADI30" s="8"/>
      <c r="ADJ30" s="8"/>
      <c r="ADK30" s="8"/>
      <c r="ADL30" s="8"/>
      <c r="ADM30" s="8"/>
      <c r="ADN30" s="8"/>
      <c r="ADO30" s="8"/>
      <c r="ADP30" s="8"/>
      <c r="ADQ30" s="8"/>
      <c r="ADR30" s="8"/>
      <c r="ADS30" s="8"/>
      <c r="ADT30" s="8"/>
      <c r="ADU30" s="8"/>
      <c r="ADV30" s="8"/>
      <c r="ADW30" s="8"/>
      <c r="ADX30" s="8"/>
      <c r="ADY30" s="8"/>
      <c r="ADZ30" s="8"/>
      <c r="AEA30" s="8"/>
      <c r="AEB30" s="8"/>
      <c r="AEC30" s="8"/>
      <c r="AED30" s="8"/>
      <c r="AEE30" s="8"/>
      <c r="AEF30" s="8"/>
      <c r="AEG30" s="8"/>
      <c r="AEH30" s="8"/>
      <c r="AEI30" s="8"/>
      <c r="AEJ30" s="8"/>
      <c r="AEK30" s="8"/>
      <c r="AEL30" s="8"/>
      <c r="AEM30" s="8"/>
      <c r="AEN30" s="8"/>
      <c r="AEO30" s="8"/>
      <c r="AEP30" s="8"/>
      <c r="AEQ30" s="8"/>
      <c r="AER30" s="8"/>
      <c r="AES30" s="8"/>
      <c r="AET30" s="8"/>
      <c r="AEU30" s="8"/>
      <c r="AEV30" s="8"/>
      <c r="AEW30" s="8"/>
      <c r="AEX30" s="8"/>
      <c r="AEY30" s="8"/>
      <c r="AEZ30" s="8"/>
      <c r="AFA30" s="8"/>
      <c r="AFB30" s="8"/>
      <c r="AFC30" s="8"/>
      <c r="AFD30" s="8"/>
      <c r="AFE30" s="8"/>
      <c r="AFF30" s="8"/>
      <c r="AFG30" s="8"/>
      <c r="AFH30" s="8"/>
      <c r="AFI30" s="8"/>
      <c r="AFJ30" s="8"/>
      <c r="AFK30" s="8"/>
      <c r="AFL30" s="8"/>
      <c r="AFM30" s="8"/>
      <c r="AFN30" s="8"/>
      <c r="AFO30" s="8"/>
      <c r="AFP30" s="8"/>
      <c r="AFQ30" s="8"/>
      <c r="AFR30" s="8"/>
      <c r="AFS30" s="8"/>
      <c r="AFT30" s="8"/>
      <c r="AFU30" s="8"/>
      <c r="AFV30" s="8"/>
      <c r="AFW30" s="8"/>
      <c r="AFX30" s="8"/>
      <c r="AFY30" s="8"/>
      <c r="AFZ30" s="8"/>
      <c r="AGA30" s="8"/>
      <c r="AGB30" s="8"/>
      <c r="AGC30" s="8"/>
      <c r="AGD30" s="8"/>
      <c r="AGE30" s="8"/>
      <c r="AGF30" s="8"/>
      <c r="AGG30" s="8"/>
      <c r="AGH30" s="8"/>
      <c r="AGI30" s="8"/>
      <c r="AGJ30" s="8"/>
      <c r="AGK30" s="8"/>
      <c r="AGL30" s="8"/>
      <c r="AGM30" s="8"/>
      <c r="AGN30" s="8"/>
      <c r="AGO30" s="8"/>
      <c r="AGP30" s="8"/>
      <c r="AGQ30" s="8"/>
      <c r="AGR30" s="8"/>
      <c r="AGS30" s="8"/>
      <c r="AGT30" s="8"/>
      <c r="AGU30" s="8"/>
      <c r="AGV30" s="8"/>
      <c r="AGW30" s="8"/>
      <c r="AGX30" s="8"/>
      <c r="AGY30" s="8"/>
      <c r="AGZ30" s="8"/>
      <c r="AHA30" s="8"/>
      <c r="AHB30" s="8"/>
      <c r="AHC30" s="8"/>
      <c r="AHD30" s="8"/>
      <c r="AHE30" s="8"/>
      <c r="AHF30" s="8"/>
      <c r="AHG30" s="8"/>
      <c r="AHH30" s="8"/>
      <c r="AHI30" s="8"/>
      <c r="AHJ30" s="8"/>
      <c r="AHK30" s="8"/>
      <c r="AHL30" s="8"/>
      <c r="AHM30" s="8"/>
      <c r="AHN30" s="8"/>
      <c r="AHO30" s="8"/>
      <c r="AHP30" s="8"/>
      <c r="AHQ30" s="8"/>
      <c r="AHR30" s="8"/>
      <c r="AHS30" s="8"/>
      <c r="AHT30" s="8"/>
      <c r="AHU30" s="8"/>
      <c r="AHV30" s="8"/>
      <c r="AHW30" s="8"/>
      <c r="AHX30" s="8"/>
      <c r="AHY30" s="8"/>
      <c r="AHZ30" s="8"/>
      <c r="AIA30" s="8"/>
      <c r="AIB30" s="8"/>
      <c r="AIC30" s="8"/>
      <c r="AID30" s="8"/>
      <c r="AIE30" s="8"/>
      <c r="AIF30" s="8"/>
      <c r="AIG30" s="8"/>
      <c r="AIH30" s="8"/>
      <c r="AII30" s="8"/>
      <c r="AIJ30" s="8"/>
      <c r="AIK30" s="8"/>
      <c r="AIL30" s="8"/>
      <c r="AIM30" s="8"/>
      <c r="AIN30" s="8"/>
      <c r="AIO30" s="8"/>
      <c r="AIP30" s="8"/>
      <c r="AIQ30" s="8"/>
      <c r="AIR30" s="8"/>
      <c r="AIS30" s="8"/>
      <c r="AIT30" s="8"/>
      <c r="AIU30" s="8"/>
      <c r="AIV30" s="8"/>
      <c r="AIW30" s="8"/>
      <c r="AIX30" s="8"/>
      <c r="AIY30" s="8"/>
      <c r="AIZ30" s="8"/>
      <c r="AJA30" s="8"/>
      <c r="AJB30" s="8"/>
      <c r="AJC30" s="8"/>
      <c r="AJD30" s="8"/>
      <c r="AJE30" s="8"/>
      <c r="AJF30" s="8"/>
      <c r="AJG30" s="8"/>
      <c r="AJH30" s="8"/>
      <c r="AJI30" s="8"/>
      <c r="AJJ30" s="8"/>
      <c r="AJK30" s="8"/>
      <c r="AJL30" s="8"/>
      <c r="AJM30" s="8"/>
      <c r="AJN30" s="8"/>
      <c r="AJO30" s="8"/>
      <c r="AJP30" s="8"/>
      <c r="AJQ30" s="8"/>
      <c r="AJR30" s="8"/>
      <c r="AJS30" s="8"/>
      <c r="AJT30" s="8"/>
      <c r="AJU30" s="8"/>
      <c r="AJV30" s="8"/>
      <c r="AJW30" s="8"/>
      <c r="AJX30" s="8"/>
      <c r="AJY30" s="8"/>
      <c r="AJZ30" s="8"/>
      <c r="AKA30" s="8"/>
      <c r="AKB30" s="8"/>
      <c r="AKC30" s="8"/>
      <c r="AKD30" s="8"/>
      <c r="AKE30" s="8"/>
      <c r="AKF30" s="8"/>
      <c r="AKG30" s="8"/>
      <c r="AKH30" s="8"/>
      <c r="AKI30" s="8"/>
      <c r="AKJ30" s="8"/>
      <c r="AKK30" s="8"/>
      <c r="AKL30" s="8"/>
      <c r="AKM30" s="8"/>
      <c r="AKN30" s="8"/>
      <c r="AKO30" s="8"/>
      <c r="AKP30" s="8"/>
      <c r="AKQ30" s="8"/>
      <c r="AKR30" s="8"/>
      <c r="AKS30" s="8"/>
      <c r="AKT30" s="8"/>
      <c r="AKU30" s="8"/>
      <c r="AKV30" s="8"/>
      <c r="AKW30" s="8"/>
      <c r="AKX30" s="8"/>
      <c r="AKY30" s="8"/>
      <c r="AKZ30" s="8"/>
      <c r="ALA30" s="8"/>
      <c r="ALB30" s="8"/>
      <c r="ALC30" s="8"/>
      <c r="ALD30" s="8"/>
      <c r="ALE30" s="8"/>
      <c r="ALF30" s="8"/>
      <c r="ALG30" s="8"/>
      <c r="ALH30" s="8"/>
      <c r="ALI30" s="8"/>
      <c r="ALJ30" s="8"/>
      <c r="ALK30" s="8"/>
      <c r="ALL30" s="8"/>
    </row>
  </sheetData>
  <mergeCells count="13">
    <mergeCell ref="J15:K15"/>
    <mergeCell ref="J16:K16"/>
    <mergeCell ref="L12:N12"/>
    <mergeCell ref="L13:N13"/>
    <mergeCell ref="J12:K12"/>
    <mergeCell ref="J13:K13"/>
    <mergeCell ref="D15:E15"/>
    <mergeCell ref="F12:G12"/>
    <mergeCell ref="F13:G13"/>
    <mergeCell ref="H12:I12"/>
    <mergeCell ref="H13:I13"/>
    <mergeCell ref="D12:E12"/>
    <mergeCell ref="D13:E13"/>
  </mergeCells>
  <phoneticPr fontId="0" type="noConversion"/>
  <dataValidations disablePrompts="1" count="1">
    <dataValidation type="list" allowBlank="1" showInputMessage="1" showErrorMessage="1" sqref="J16:K16">
      <formula1>SelectYesNo</formula1>
    </dataValidation>
  </dataValidations>
  <pageMargins left="0.7" right="0.7" top="0.75" bottom="0.75" header="0.3" footer="0.3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58" r:id="rId4" name="TIButton1">
          <controlPr defaultSize="0" print="0" autoLine="0" autoPict="0" r:id="rId5">
            <anchor moveWithCells="1">
              <from>
                <xdr:col>11</xdr:col>
                <xdr:colOff>352425</xdr:colOff>
                <xdr:row>9</xdr:row>
                <xdr:rowOff>95250</xdr:rowOff>
              </from>
              <to>
                <xdr:col>13</xdr:col>
                <xdr:colOff>266700</xdr:colOff>
                <xdr:row>9</xdr:row>
                <xdr:rowOff>371475</xdr:rowOff>
              </to>
            </anchor>
          </controlPr>
        </control>
      </mc:Choice>
      <mc:Fallback>
        <control shapeId="45058" r:id="rId4" name="TIButton1"/>
      </mc:Fallback>
    </mc:AlternateContent>
    <mc:AlternateContent xmlns:mc="http://schemas.openxmlformats.org/markup-compatibility/2006">
      <mc:Choice Requires="x14">
        <control shapeId="45059" r:id="rId6" name="TIButton2">
          <controlPr defaultSize="0" print="0" autoLine="0" autoPict="0" r:id="rId7">
            <anchor moveWithCells="1">
              <from>
                <xdr:col>7</xdr:col>
                <xdr:colOff>266700</xdr:colOff>
                <xdr:row>9</xdr:row>
                <xdr:rowOff>95250</xdr:rowOff>
              </from>
              <to>
                <xdr:col>9</xdr:col>
                <xdr:colOff>180975</xdr:colOff>
                <xdr:row>9</xdr:row>
                <xdr:rowOff>371475</xdr:rowOff>
              </to>
            </anchor>
          </controlPr>
        </control>
      </mc:Choice>
      <mc:Fallback>
        <control shapeId="45059" r:id="rId6" name="TIButton2"/>
      </mc:Fallback>
    </mc:AlternateContent>
    <mc:AlternateContent xmlns:mc="http://schemas.openxmlformats.org/markup-compatibility/2006">
      <mc:Choice Requires="x14">
        <control shapeId="45064" r:id="rId8" name="TIButton3">
          <controlPr defaultSize="0" print="0" autoLine="0" autoPict="0" r:id="rId9">
            <anchor moveWithCells="1">
              <from>
                <xdr:col>9</xdr:col>
                <xdr:colOff>238125</xdr:colOff>
                <xdr:row>9</xdr:row>
                <xdr:rowOff>95250</xdr:rowOff>
              </from>
              <to>
                <xdr:col>11</xdr:col>
                <xdr:colOff>152400</xdr:colOff>
                <xdr:row>9</xdr:row>
                <xdr:rowOff>371475</xdr:rowOff>
              </to>
            </anchor>
          </controlPr>
        </control>
      </mc:Choice>
      <mc:Fallback>
        <control shapeId="45064" r:id="rId8" name="TI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31"/>
  <sheetViews>
    <sheetView showGridLines="0" topLeftCell="A2" workbookViewId="0"/>
  </sheetViews>
  <sheetFormatPr defaultRowHeight="15" x14ac:dyDescent="0.25"/>
  <cols>
    <col min="1" max="1" width="1.28515625" customWidth="1"/>
    <col min="2" max="2" width="11.28515625" hidden="1" customWidth="1"/>
    <col min="3" max="3" width="15.140625" customWidth="1"/>
    <col min="4" max="4" width="10.140625" customWidth="1"/>
    <col min="5" max="16" width="9" customWidth="1"/>
  </cols>
  <sheetData>
    <row r="1" spans="1:19" hidden="1" x14ac:dyDescent="0.25">
      <c r="C1" t="s">
        <v>18</v>
      </c>
      <c r="D1" t="str">
        <f ca="1">_xll.VIEW("24retail:Revenue",$C$5,"!",$E$5,"!",$J$5,$L$5,$H$5)</f>
        <v>24retail:Revenue</v>
      </c>
    </row>
    <row r="2" spans="1:19" ht="37.5" customHeight="1" thickBot="1" x14ac:dyDescent="0.3">
      <c r="A2" s="13"/>
      <c r="B2" s="13"/>
      <c r="C2" s="51" t="s">
        <v>49</v>
      </c>
      <c r="D2" s="13"/>
      <c r="E2" s="13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"/>
      <c r="R2" s="1"/>
      <c r="S2" s="1"/>
    </row>
    <row r="3" spans="1:19" ht="7.5" customHeight="1" x14ac:dyDescent="0.25">
      <c r="J3" s="1"/>
      <c r="K3" s="1"/>
      <c r="L3" s="1"/>
    </row>
    <row r="4" spans="1:19" s="4" customFormat="1" ht="15" customHeight="1" x14ac:dyDescent="0.25">
      <c r="C4" s="128" t="s">
        <v>7</v>
      </c>
      <c r="D4" s="129"/>
      <c r="E4" s="122" t="s">
        <v>32</v>
      </c>
      <c r="F4" s="122"/>
      <c r="G4" s="122"/>
      <c r="H4" s="128" t="s">
        <v>33</v>
      </c>
      <c r="I4" s="129"/>
      <c r="J4" s="128" t="s">
        <v>1</v>
      </c>
      <c r="K4" s="129"/>
      <c r="L4" s="128" t="s">
        <v>2</v>
      </c>
      <c r="M4" s="130"/>
    </row>
    <row r="5" spans="1:19" s="4" customFormat="1" ht="15" customHeight="1" x14ac:dyDescent="0.25">
      <c r="C5" s="125" t="str">
        <f ca="1">_xll.SUBNM("24retail:organization","Workflow","Total Company","Label")</f>
        <v/>
      </c>
      <c r="D5" s="127"/>
      <c r="E5" s="125" t="str">
        <f ca="1">_xll.SUBNM("24retail:Product","Product All","20000","Caption_Default")</f>
        <v/>
      </c>
      <c r="F5" s="126"/>
      <c r="G5" s="127"/>
      <c r="H5" s="125" t="str">
        <f ca="1">_xll.SUBNM("24retail:Revenue","Default","Units Sold","Caption_Default")</f>
        <v/>
      </c>
      <c r="I5" s="127"/>
      <c r="J5" s="125" t="str">
        <f ca="1">_xll.SUBNM("24retail:Year","Default","Y2","Caption_Default")</f>
        <v/>
      </c>
      <c r="K5" s="127"/>
      <c r="L5" s="125" t="str">
        <f ca="1">_xll.SUBNM("24retail:Version","Current",_xll.DBR("24retail:Calendar","Current Version","String"),"Caption_Default")</f>
        <v/>
      </c>
      <c r="M5" s="127"/>
    </row>
    <row r="6" spans="1:19" s="4" customFormat="1" ht="7.5" customHeight="1" x14ac:dyDescent="0.25"/>
    <row r="7" spans="1:19" s="4" customFormat="1" ht="15" customHeight="1" x14ac:dyDescent="0.25">
      <c r="C7" s="99" t="str">
        <f ca="1">H5</f>
        <v/>
      </c>
      <c r="D7" s="17" t="s">
        <v>1</v>
      </c>
      <c r="E7" s="17" t="s">
        <v>19</v>
      </c>
      <c r="F7" s="17" t="s">
        <v>20</v>
      </c>
      <c r="G7" s="17" t="s">
        <v>21</v>
      </c>
      <c r="H7" s="17" t="s">
        <v>22</v>
      </c>
      <c r="I7" s="17" t="s">
        <v>23</v>
      </c>
      <c r="J7" s="17" t="s">
        <v>24</v>
      </c>
      <c r="K7" s="17" t="s">
        <v>25</v>
      </c>
      <c r="L7" s="17" t="s">
        <v>26</v>
      </c>
      <c r="M7" s="17" t="s">
        <v>27</v>
      </c>
      <c r="N7" s="17" t="s">
        <v>28</v>
      </c>
      <c r="O7" s="17" t="s">
        <v>29</v>
      </c>
      <c r="P7" s="19" t="s">
        <v>30</v>
      </c>
    </row>
    <row r="8" spans="1:19" s="3" customFormat="1" ht="15" customHeight="1" x14ac:dyDescent="0.2">
      <c r="B8" s="3" t="s">
        <v>31</v>
      </c>
      <c r="C8" s="96" t="str">
        <f ca="1">_xll.DBRA("24retail:channel",B8,"caption_default")</f>
        <v/>
      </c>
      <c r="D8" s="44" t="str">
        <f ca="1">_xll.DBRW($D$1,$C$5,$B8,$E$5,D$7,$J$5,$L$5,$H$5)</f>
        <v/>
      </c>
      <c r="E8" s="44" t="str">
        <f ca="1">_xll.DBRW($D$1,$C$5,$B8,$E$5,E$7,$J$5,$L$5,$H$5)</f>
        <v/>
      </c>
      <c r="F8" s="44" t="str">
        <f ca="1">_xll.DBRW($D$1,$C$5,$B8,$E$5,F$7,$J$5,$L$5,$H$5)</f>
        <v/>
      </c>
      <c r="G8" s="44" t="str">
        <f ca="1">_xll.DBRW($D$1,$C$5,$B8,$E$5,G$7,$J$5,$L$5,$H$5)</f>
        <v/>
      </c>
      <c r="H8" s="44" t="str">
        <f ca="1">_xll.DBRW($D$1,$C$5,$B8,$E$5,H$7,$J$5,$L$5,$H$5)</f>
        <v/>
      </c>
      <c r="I8" s="44" t="str">
        <f ca="1">_xll.DBRW($D$1,$C$5,$B8,$E$5,I$7,$J$5,$L$5,$H$5)</f>
        <v/>
      </c>
      <c r="J8" s="44" t="str">
        <f ca="1">_xll.DBRW($D$1,$C$5,$B8,$E$5,J$7,$J$5,$L$5,$H$5)</f>
        <v/>
      </c>
      <c r="K8" s="44" t="str">
        <f ca="1">_xll.DBRW($D$1,$C$5,$B8,$E$5,K$7,$J$5,$L$5,$H$5)</f>
        <v/>
      </c>
      <c r="L8" s="44" t="str">
        <f ca="1">_xll.DBRW($D$1,$C$5,$B8,$E$5,L$7,$J$5,$L$5,$H$5)</f>
        <v/>
      </c>
      <c r="M8" s="44" t="str">
        <f ca="1">_xll.DBRW($D$1,$C$5,$B8,$E$5,M$7,$J$5,$L$5,$H$5)</f>
        <v/>
      </c>
      <c r="N8" s="44" t="str">
        <f ca="1">_xll.DBRW($D$1,$C$5,$B8,$E$5,N$7,$J$5,$L$5,$H$5)</f>
        <v/>
      </c>
      <c r="O8" s="44" t="str">
        <f ca="1">_xll.DBRW($D$1,$C$5,$B8,$E$5,O$7,$J$5,$L$5,$H$5)</f>
        <v/>
      </c>
      <c r="P8" s="44" t="str">
        <f ca="1">_xll.DBRW($D$1,$C$5,$B8,$E$5,P$7,$J$5,$L$5,$H$5)</f>
        <v/>
      </c>
    </row>
    <row r="9" spans="1:19" s="3" customFormat="1" ht="15" customHeight="1" x14ac:dyDescent="0.2">
      <c r="B9" s="95" t="s">
        <v>87</v>
      </c>
      <c r="C9" s="80" t="str">
        <f ca="1">_xll.DBRA("24retail:channel",B9,"caption_default")</f>
        <v/>
      </c>
      <c r="D9" s="62" t="str">
        <f ca="1">_xll.DBRW($D$1,$C$5,$B9,$E$5,D$7,$J$5,$L$5,$H$5)</f>
        <v/>
      </c>
      <c r="E9" s="16" t="str">
        <f ca="1">_xll.DBRW($D$1,$C$5,$B9,$E$5,E$7,$J$5,$L$5,$H$5)</f>
        <v/>
      </c>
      <c r="F9" s="16" t="str">
        <f ca="1">_xll.DBRW($D$1,$C$5,$B9,$E$5,F$7,$J$5,$L$5,$H$5)</f>
        <v/>
      </c>
      <c r="G9" s="16" t="str">
        <f ca="1">_xll.DBRW($D$1,$C$5,$B9,$E$5,G$7,$J$5,$L$5,$H$5)</f>
        <v/>
      </c>
      <c r="H9" s="16" t="str">
        <f ca="1">_xll.DBRW($D$1,$C$5,$B9,$E$5,H$7,$J$5,$L$5,$H$5)</f>
        <v/>
      </c>
      <c r="I9" s="16" t="str">
        <f ca="1">_xll.DBRW($D$1,$C$5,$B9,$E$5,I$7,$J$5,$L$5,$H$5)</f>
        <v/>
      </c>
      <c r="J9" s="16" t="str">
        <f ca="1">_xll.DBRW($D$1,$C$5,$B9,$E$5,J$7,$J$5,$L$5,$H$5)</f>
        <v/>
      </c>
      <c r="K9" s="16" t="str">
        <f ca="1">_xll.DBRW($D$1,$C$5,$B9,$E$5,K$7,$J$5,$L$5,$H$5)</f>
        <v/>
      </c>
      <c r="L9" s="16" t="str">
        <f ca="1">_xll.DBRW($D$1,$C$5,$B9,$E$5,L$7,$J$5,$L$5,$H$5)</f>
        <v/>
      </c>
      <c r="M9" s="16" t="str">
        <f ca="1">_xll.DBRW($D$1,$C$5,$B9,$E$5,M$7,$J$5,$L$5,$H$5)</f>
        <v/>
      </c>
      <c r="N9" s="16" t="str">
        <f ca="1">_xll.DBRW($D$1,$C$5,$B9,$E$5,N$7,$J$5,$L$5,$H$5)</f>
        <v/>
      </c>
      <c r="O9" s="16" t="str">
        <f ca="1">_xll.DBRW($D$1,$C$5,$B9,$E$5,O$7,$J$5,$L$5,$H$5)</f>
        <v/>
      </c>
      <c r="P9" s="16" t="str">
        <f ca="1">_xll.DBRW($D$1,$C$5,$B9,$E$5,P$7,$J$5,$L$5,$H$5)</f>
        <v/>
      </c>
    </row>
    <row r="10" spans="1:19" s="3" customFormat="1" ht="15" customHeight="1" x14ac:dyDescent="0.2">
      <c r="B10" s="95" t="s">
        <v>88</v>
      </c>
      <c r="C10" s="80" t="str">
        <f ca="1">_xll.DBRA("24retail:channel",B10,"caption_default")</f>
        <v/>
      </c>
      <c r="D10" s="62" t="str">
        <f ca="1">_xll.DBRW($D$1,$C$5,$B10,$E$5,D$7,$J$5,$L$5,$H$5)</f>
        <v/>
      </c>
      <c r="E10" s="16" t="str">
        <f ca="1">_xll.DBRW($D$1,$C$5,$B10,$E$5,E$7,$J$5,$L$5,$H$5)</f>
        <v/>
      </c>
      <c r="F10" s="16" t="str">
        <f ca="1">_xll.DBRW($D$1,$C$5,$B10,$E$5,F$7,$J$5,$L$5,$H$5)</f>
        <v/>
      </c>
      <c r="G10" s="16" t="str">
        <f ca="1">_xll.DBRW($D$1,$C$5,$B10,$E$5,G$7,$J$5,$L$5,$H$5)</f>
        <v/>
      </c>
      <c r="H10" s="16" t="str">
        <f ca="1">_xll.DBRW($D$1,$C$5,$B10,$E$5,H$7,$J$5,$L$5,$H$5)</f>
        <v/>
      </c>
      <c r="I10" s="16" t="str">
        <f ca="1">_xll.DBRW($D$1,$C$5,$B10,$E$5,I$7,$J$5,$L$5,$H$5)</f>
        <v/>
      </c>
      <c r="J10" s="16" t="str">
        <f ca="1">_xll.DBRW($D$1,$C$5,$B10,$E$5,J$7,$J$5,$L$5,$H$5)</f>
        <v/>
      </c>
      <c r="K10" s="16" t="str">
        <f ca="1">_xll.DBRW($D$1,$C$5,$B10,$E$5,K$7,$J$5,$L$5,$H$5)</f>
        <v/>
      </c>
      <c r="L10" s="16" t="str">
        <f ca="1">_xll.DBRW($D$1,$C$5,$B10,$E$5,L$7,$J$5,$L$5,$H$5)</f>
        <v/>
      </c>
      <c r="M10" s="16" t="str">
        <f ca="1">_xll.DBRW($D$1,$C$5,$B10,$E$5,M$7,$J$5,$L$5,$H$5)</f>
        <v/>
      </c>
      <c r="N10" s="16" t="str">
        <f ca="1">_xll.DBRW($D$1,$C$5,$B10,$E$5,N$7,$J$5,$L$5,$H$5)</f>
        <v/>
      </c>
      <c r="O10" s="16" t="str">
        <f ca="1">_xll.DBRW($D$1,$C$5,$B10,$E$5,O$7,$J$5,$L$5,$H$5)</f>
        <v/>
      </c>
      <c r="P10" s="16" t="str">
        <f ca="1">_xll.DBRW($D$1,$C$5,$B10,$E$5,P$7,$J$5,$L$5,$H$5)</f>
        <v/>
      </c>
    </row>
    <row r="11" spans="1:19" s="3" customFormat="1" ht="15" customHeight="1" x14ac:dyDescent="0.2">
      <c r="B11" s="95" t="s">
        <v>89</v>
      </c>
      <c r="C11" s="80" t="str">
        <f ca="1">_xll.DBRA("24retail:channel",B11,"caption_default")</f>
        <v/>
      </c>
      <c r="D11" s="62" t="str">
        <f ca="1">_xll.DBRW($D$1,$C$5,$B11,$E$5,D$7,$J$5,$L$5,$H$5)</f>
        <v/>
      </c>
      <c r="E11" s="16" t="str">
        <f ca="1">_xll.DBRW($D$1,$C$5,$B11,$E$5,E$7,$J$5,$L$5,$H$5)</f>
        <v/>
      </c>
      <c r="F11" s="16" t="str">
        <f ca="1">_xll.DBRW($D$1,$C$5,$B11,$E$5,F$7,$J$5,$L$5,$H$5)</f>
        <v/>
      </c>
      <c r="G11" s="16" t="str">
        <f ca="1">_xll.DBRW($D$1,$C$5,$B11,$E$5,G$7,$J$5,$L$5,$H$5)</f>
        <v/>
      </c>
      <c r="H11" s="16" t="str">
        <f ca="1">_xll.DBRW($D$1,$C$5,$B11,$E$5,H$7,$J$5,$L$5,$H$5)</f>
        <v/>
      </c>
      <c r="I11" s="16" t="str">
        <f ca="1">_xll.DBRW($D$1,$C$5,$B11,$E$5,I$7,$J$5,$L$5,$H$5)</f>
        <v/>
      </c>
      <c r="J11" s="16" t="str">
        <f ca="1">_xll.DBRW($D$1,$C$5,$B11,$E$5,J$7,$J$5,$L$5,$H$5)</f>
        <v/>
      </c>
      <c r="K11" s="16" t="str">
        <f ca="1">_xll.DBRW($D$1,$C$5,$B11,$E$5,K$7,$J$5,$L$5,$H$5)</f>
        <v/>
      </c>
      <c r="L11" s="16" t="str">
        <f ca="1">_xll.DBRW($D$1,$C$5,$B11,$E$5,L$7,$J$5,$L$5,$H$5)</f>
        <v/>
      </c>
      <c r="M11" s="16" t="str">
        <f ca="1">_xll.DBRW($D$1,$C$5,$B11,$E$5,M$7,$J$5,$L$5,$H$5)</f>
        <v/>
      </c>
      <c r="N11" s="16" t="str">
        <f ca="1">_xll.DBRW($D$1,$C$5,$B11,$E$5,N$7,$J$5,$L$5,$H$5)</f>
        <v/>
      </c>
      <c r="O11" s="16" t="str">
        <f ca="1">_xll.DBRW($D$1,$C$5,$B11,$E$5,O$7,$J$5,$L$5,$H$5)</f>
        <v/>
      </c>
      <c r="P11" s="16" t="str">
        <f ca="1">_xll.DBRW($D$1,$C$5,$B11,$E$5,P$7,$J$5,$L$5,$H$5)</f>
        <v/>
      </c>
    </row>
    <row r="23" spans="2:18" x14ac:dyDescent="0.2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2:18" s="93" customFormat="1" ht="2.25" customHeight="1" x14ac:dyDescent="0.25"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</row>
    <row r="25" spans="2:18" s="101" customFormat="1" ht="2.25" customHeight="1" x14ac:dyDescent="0.25">
      <c r="C25" s="102" t="s">
        <v>46</v>
      </c>
      <c r="D25" s="103" t="s">
        <v>1</v>
      </c>
      <c r="E25" s="103" t="s">
        <v>19</v>
      </c>
      <c r="F25" s="103" t="s">
        <v>20</v>
      </c>
      <c r="G25" s="103" t="s">
        <v>21</v>
      </c>
      <c r="H25" s="103" t="s">
        <v>22</v>
      </c>
      <c r="I25" s="103" t="s">
        <v>23</v>
      </c>
      <c r="J25" s="103" t="s">
        <v>24</v>
      </c>
      <c r="K25" s="103" t="s">
        <v>25</v>
      </c>
      <c r="L25" s="103" t="s">
        <v>26</v>
      </c>
      <c r="M25" s="103" t="s">
        <v>27</v>
      </c>
      <c r="N25" s="103" t="s">
        <v>28</v>
      </c>
      <c r="O25" s="103" t="s">
        <v>29</v>
      </c>
      <c r="P25" s="103" t="s">
        <v>30</v>
      </c>
      <c r="Q25" s="92"/>
      <c r="R25" s="92"/>
    </row>
    <row r="26" spans="2:18" s="104" customFormat="1" ht="2.25" customHeight="1" x14ac:dyDescent="0.2">
      <c r="B26" s="104" t="s">
        <v>31</v>
      </c>
      <c r="C26" s="105" t="str">
        <f ca="1">_xll.DBRA("24retail:channel",B26,"caption_default")</f>
        <v/>
      </c>
      <c r="D26" s="106" t="str">
        <f ca="1">_xll.DBRW($D$1,$C$5,$B26,$E$5,D$7,$J$5,$L$5,"Units Sold")</f>
        <v/>
      </c>
      <c r="E26" s="106" t="str">
        <f ca="1">_xll.DBRW($D$1,$C$5,$B26,$E$5,E$7,$J$5,$L$5,"Units Sold")</f>
        <v/>
      </c>
      <c r="F26" s="106" t="str">
        <f ca="1">_xll.DBRW($D$1,$C$5,$B26,$E$5,F$7,$J$5,$L$5,"Units Sold")</f>
        <v/>
      </c>
      <c r="G26" s="106" t="str">
        <f ca="1">_xll.DBRW($D$1,$C$5,$B26,$E$5,G$7,$J$5,$L$5,"Units Sold")</f>
        <v/>
      </c>
      <c r="H26" s="106" t="str">
        <f ca="1">_xll.DBRW($D$1,$C$5,$B26,$E$5,H$7,$J$5,$L$5,"Units Sold")</f>
        <v/>
      </c>
      <c r="I26" s="106" t="str">
        <f ca="1">_xll.DBRW($D$1,$C$5,$B26,$E$5,I$7,$J$5,$L$5,"Units Sold")</f>
        <v/>
      </c>
      <c r="J26" s="106" t="str">
        <f ca="1">_xll.DBRW($D$1,$C$5,$B26,$E$5,J$7,$J$5,$L$5,"Units Sold")</f>
        <v/>
      </c>
      <c r="K26" s="106" t="str">
        <f ca="1">_xll.DBRW($D$1,$C$5,$B26,$E$5,K$7,$J$5,$L$5,"Units Sold")</f>
        <v/>
      </c>
      <c r="L26" s="106" t="str">
        <f ca="1">_xll.DBRW($D$1,$C$5,$B26,$E$5,L$7,$J$5,$L$5,"Units Sold")</f>
        <v/>
      </c>
      <c r="M26" s="106" t="str">
        <f ca="1">_xll.DBRW($D$1,$C$5,$B26,$E$5,M$7,$J$5,$L$5,"Units Sold")</f>
        <v/>
      </c>
      <c r="N26" s="106" t="str">
        <f ca="1">_xll.DBRW($D$1,$C$5,$B26,$E$5,N$7,$J$5,$L$5,"Units Sold")</f>
        <v/>
      </c>
      <c r="O26" s="106" t="str">
        <f ca="1">_xll.DBRW($D$1,$C$5,$B26,$E$5,O$7,$J$5,$L$5,"Units Sold")</f>
        <v/>
      </c>
      <c r="P26" s="106" t="str">
        <f ca="1">_xll.DBRW($D$1,$C$5,$B26,$E$5,P$7,$J$5,$L$5,"Units Sold")</f>
        <v/>
      </c>
      <c r="Q26" s="107"/>
      <c r="R26" s="107"/>
    </row>
    <row r="27" spans="2:18" s="104" customFormat="1" ht="2.25" customHeight="1" x14ac:dyDescent="0.2">
      <c r="B27" s="104" t="s">
        <v>87</v>
      </c>
      <c r="C27" s="108" t="str">
        <f ca="1">_xll.DBRA("24retail:channel",B27,"caption_default")</f>
        <v/>
      </c>
      <c r="D27" s="106" t="str">
        <f ca="1">_xll.DBRW($D$1,$C$5,$B27,$E$5,D$7,$J$5,$L$5,"Units Sold")</f>
        <v/>
      </c>
      <c r="E27" s="106" t="str">
        <f ca="1">_xll.DBRW($D$1,$C$5,$B27,$E$5,E$7,$J$5,$L$5,"Units Sold")</f>
        <v/>
      </c>
      <c r="F27" s="106" t="str">
        <f ca="1">_xll.DBRW($D$1,$C$5,$B27,$E$5,F$7,$J$5,$L$5,"Units Sold")</f>
        <v/>
      </c>
      <c r="G27" s="106" t="str">
        <f ca="1">_xll.DBRW($D$1,$C$5,$B27,$E$5,G$7,$J$5,$L$5,"Units Sold")</f>
        <v/>
      </c>
      <c r="H27" s="106" t="str">
        <f ca="1">_xll.DBRW($D$1,$C$5,$B27,$E$5,H$7,$J$5,$L$5,"Units Sold")</f>
        <v/>
      </c>
      <c r="I27" s="106" t="str">
        <f ca="1">_xll.DBRW($D$1,$C$5,$B27,$E$5,I$7,$J$5,$L$5,"Units Sold")</f>
        <v/>
      </c>
      <c r="J27" s="106" t="str">
        <f ca="1">_xll.DBRW($D$1,$C$5,$B27,$E$5,J$7,$J$5,$L$5,"Units Sold")</f>
        <v/>
      </c>
      <c r="K27" s="106" t="str">
        <f ca="1">_xll.DBRW($D$1,$C$5,$B27,$E$5,K$7,$J$5,$L$5,"Units Sold")</f>
        <v/>
      </c>
      <c r="L27" s="106" t="str">
        <f ca="1">_xll.DBRW($D$1,$C$5,$B27,$E$5,L$7,$J$5,$L$5,"Units Sold")</f>
        <v/>
      </c>
      <c r="M27" s="106" t="str">
        <f ca="1">_xll.DBRW($D$1,$C$5,$B27,$E$5,M$7,$J$5,$L$5,"Units Sold")</f>
        <v/>
      </c>
      <c r="N27" s="106" t="str">
        <f ca="1">_xll.DBRW($D$1,$C$5,$B27,$E$5,N$7,$J$5,$L$5,"Units Sold")</f>
        <v/>
      </c>
      <c r="O27" s="106" t="str">
        <f ca="1">_xll.DBRW($D$1,$C$5,$B27,$E$5,O$7,$J$5,$L$5,"Units Sold")</f>
        <v/>
      </c>
      <c r="P27" s="106" t="str">
        <f ca="1">_xll.DBRW($D$1,$C$5,$B27,$E$5,P$7,$J$5,$L$5,"Units Sold")</f>
        <v/>
      </c>
      <c r="Q27" s="107"/>
      <c r="R27" s="107"/>
    </row>
    <row r="28" spans="2:18" s="104" customFormat="1" ht="2.25" customHeight="1" x14ac:dyDescent="0.2">
      <c r="B28" s="104" t="s">
        <v>88</v>
      </c>
      <c r="C28" s="108" t="str">
        <f ca="1">_xll.DBRA("24retail:channel",B28,"caption_default")</f>
        <v/>
      </c>
      <c r="D28" s="106" t="str">
        <f ca="1">_xll.DBRW($D$1,$C$5,$B28,$E$5,D$7,$J$5,$L$5,"Units Sold")</f>
        <v/>
      </c>
      <c r="E28" s="106" t="str">
        <f ca="1">_xll.DBRW($D$1,$C$5,$B28,$E$5,E$7,$J$5,$L$5,"Units Sold")</f>
        <v/>
      </c>
      <c r="F28" s="106" t="str">
        <f ca="1">_xll.DBRW($D$1,$C$5,$B28,$E$5,F$7,$J$5,$L$5,"Units Sold")</f>
        <v/>
      </c>
      <c r="G28" s="106" t="str">
        <f ca="1">_xll.DBRW($D$1,$C$5,$B28,$E$5,G$7,$J$5,$L$5,"Units Sold")</f>
        <v/>
      </c>
      <c r="H28" s="106" t="str">
        <f ca="1">_xll.DBRW($D$1,$C$5,$B28,$E$5,H$7,$J$5,$L$5,"Units Sold")</f>
        <v/>
      </c>
      <c r="I28" s="106" t="str">
        <f ca="1">_xll.DBRW($D$1,$C$5,$B28,$E$5,I$7,$J$5,$L$5,"Units Sold")</f>
        <v/>
      </c>
      <c r="J28" s="106" t="str">
        <f ca="1">_xll.DBRW($D$1,$C$5,$B28,$E$5,J$7,$J$5,$L$5,"Units Sold")</f>
        <v/>
      </c>
      <c r="K28" s="106" t="str">
        <f ca="1">_xll.DBRW($D$1,$C$5,$B28,$E$5,K$7,$J$5,$L$5,"Units Sold")</f>
        <v/>
      </c>
      <c r="L28" s="106" t="str">
        <f ca="1">_xll.DBRW($D$1,$C$5,$B28,$E$5,L$7,$J$5,$L$5,"Units Sold")</f>
        <v/>
      </c>
      <c r="M28" s="106" t="str">
        <f ca="1">_xll.DBRW($D$1,$C$5,$B28,$E$5,M$7,$J$5,$L$5,"Units Sold")</f>
        <v/>
      </c>
      <c r="N28" s="106" t="str">
        <f ca="1">_xll.DBRW($D$1,$C$5,$B28,$E$5,N$7,$J$5,$L$5,"Units Sold")</f>
        <v/>
      </c>
      <c r="O28" s="106" t="str">
        <f ca="1">_xll.DBRW($D$1,$C$5,$B28,$E$5,O$7,$J$5,$L$5,"Units Sold")</f>
        <v/>
      </c>
      <c r="P28" s="106" t="str">
        <f ca="1">_xll.DBRW($D$1,$C$5,$B28,$E$5,P$7,$J$5,$L$5,"Units Sold")</f>
        <v/>
      </c>
      <c r="Q28" s="107"/>
      <c r="R28" s="107"/>
    </row>
    <row r="29" spans="2:18" s="104" customFormat="1" ht="2.25" customHeight="1" x14ac:dyDescent="0.2">
      <c r="B29" s="104" t="s">
        <v>89</v>
      </c>
      <c r="C29" s="108" t="str">
        <f ca="1">_xll.DBRA("24retail:channel",B29,"caption_default")</f>
        <v/>
      </c>
      <c r="D29" s="106" t="str">
        <f ca="1">_xll.DBRW($D$1,$C$5,$B29,$E$5,D$7,$J$5,$L$5,"Units Sold")</f>
        <v/>
      </c>
      <c r="E29" s="106" t="str">
        <f ca="1">_xll.DBRW($D$1,$C$5,$B29,$E$5,E$7,$J$5,$L$5,"Units Sold")</f>
        <v/>
      </c>
      <c r="F29" s="106" t="str">
        <f ca="1">_xll.DBRW($D$1,$C$5,$B29,$E$5,F$7,$J$5,$L$5,"Units Sold")</f>
        <v/>
      </c>
      <c r="G29" s="106" t="str">
        <f ca="1">_xll.DBRW($D$1,$C$5,$B29,$E$5,G$7,$J$5,$L$5,"Units Sold")</f>
        <v/>
      </c>
      <c r="H29" s="106" t="str">
        <f ca="1">_xll.DBRW($D$1,$C$5,$B29,$E$5,H$7,$J$5,$L$5,"Units Sold")</f>
        <v/>
      </c>
      <c r="I29" s="106" t="str">
        <f ca="1">_xll.DBRW($D$1,$C$5,$B29,$E$5,I$7,$J$5,$L$5,"Units Sold")</f>
        <v/>
      </c>
      <c r="J29" s="106" t="str">
        <f ca="1">_xll.DBRW($D$1,$C$5,$B29,$E$5,J$7,$J$5,$L$5,"Units Sold")</f>
        <v/>
      </c>
      <c r="K29" s="106" t="str">
        <f ca="1">_xll.DBRW($D$1,$C$5,$B29,$E$5,K$7,$J$5,$L$5,"Units Sold")</f>
        <v/>
      </c>
      <c r="L29" s="106" t="str">
        <f ca="1">_xll.DBRW($D$1,$C$5,$B29,$E$5,L$7,$J$5,$L$5,"Units Sold")</f>
        <v/>
      </c>
      <c r="M29" s="106" t="str">
        <f ca="1">_xll.DBRW($D$1,$C$5,$B29,$E$5,M$7,$J$5,$L$5,"Units Sold")</f>
        <v/>
      </c>
      <c r="N29" s="106" t="str">
        <f ca="1">_xll.DBRW($D$1,$C$5,$B29,$E$5,N$7,$J$5,$L$5,"Units Sold")</f>
        <v/>
      </c>
      <c r="O29" s="106" t="str">
        <f ca="1">_xll.DBRW($D$1,$C$5,$B29,$E$5,O$7,$J$5,$L$5,"Units Sold")</f>
        <v/>
      </c>
      <c r="P29" s="106" t="str">
        <f ca="1">_xll.DBRW($D$1,$C$5,$B29,$E$5,P$7,$J$5,$L$5,"Units Sold")</f>
        <v/>
      </c>
      <c r="Q29" s="107"/>
      <c r="R29" s="107"/>
    </row>
    <row r="30" spans="2:18" s="98" customFormat="1" ht="28.5" customHeight="1" x14ac:dyDescent="0.25"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</row>
    <row r="31" spans="2:18" s="1" customFormat="1" ht="9.9499999999999993" customHeight="1" x14ac:dyDescent="0.25"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</row>
  </sheetData>
  <mergeCells count="10">
    <mergeCell ref="E4:G4"/>
    <mergeCell ref="E5:G5"/>
    <mergeCell ref="C4:D4"/>
    <mergeCell ref="C5:D5"/>
    <mergeCell ref="L5:M5"/>
    <mergeCell ref="L4:M4"/>
    <mergeCell ref="H5:I5"/>
    <mergeCell ref="H4:I4"/>
    <mergeCell ref="J5:K5"/>
    <mergeCell ref="J4:K4"/>
  </mergeCells>
  <phoneticPr fontId="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54" r:id="rId4" name="TIButton1">
          <controlPr defaultSize="0" print="0" autoLine="0" r:id="rId5">
            <anchor moveWithCells="1">
              <from>
                <xdr:col>11</xdr:col>
                <xdr:colOff>19050</xdr:colOff>
                <xdr:row>1</xdr:row>
                <xdr:rowOff>95250</xdr:rowOff>
              </from>
              <to>
                <xdr:col>12</xdr:col>
                <xdr:colOff>542925</xdr:colOff>
                <xdr:row>1</xdr:row>
                <xdr:rowOff>457200</xdr:rowOff>
              </to>
            </anchor>
          </controlPr>
        </control>
      </mc:Choice>
      <mc:Fallback>
        <control shapeId="5154" r:id="rId4" name="TIButton1"/>
      </mc:Fallback>
    </mc:AlternateContent>
    <mc:AlternateContent xmlns:mc="http://schemas.openxmlformats.org/markup-compatibility/2006">
      <mc:Choice Requires="x14">
        <control shapeId="5155" r:id="rId6" name="TIButton2">
          <controlPr defaultSize="0" print="0" autoLine="0" r:id="rId7">
            <anchor moveWithCells="1">
              <from>
                <xdr:col>8</xdr:col>
                <xdr:colOff>457200</xdr:colOff>
                <xdr:row>1</xdr:row>
                <xdr:rowOff>95250</xdr:rowOff>
              </from>
              <to>
                <xdr:col>10</xdr:col>
                <xdr:colOff>381000</xdr:colOff>
                <xdr:row>1</xdr:row>
                <xdr:rowOff>457200</xdr:rowOff>
              </to>
            </anchor>
          </controlPr>
        </control>
      </mc:Choice>
      <mc:Fallback>
        <control shapeId="5155" r:id="rId6" name="TI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5"/>
  <sheetViews>
    <sheetView showGridLines="0" topLeftCell="A2" workbookViewId="0"/>
  </sheetViews>
  <sheetFormatPr defaultRowHeight="15" x14ac:dyDescent="0.25"/>
  <cols>
    <col min="1" max="1" width="1.28515625" customWidth="1"/>
    <col min="2" max="2" width="15" hidden="1" customWidth="1"/>
    <col min="3" max="3" width="18.28515625" customWidth="1"/>
    <col min="4" max="4" width="8.42578125" customWidth="1"/>
    <col min="5" max="7" width="17.140625" customWidth="1"/>
  </cols>
  <sheetData>
    <row r="1" spans="1:11" hidden="1" x14ac:dyDescent="0.25">
      <c r="C1" t="s">
        <v>18</v>
      </c>
      <c r="E1" t="str">
        <f ca="1">_xll.VIEW("24retail:Revenue",$C$5,"!",$D$5,$G$5,$H$5,$I$5,"!")</f>
        <v>24retail:Revenue</v>
      </c>
    </row>
    <row r="2" spans="1:11" ht="37.5" customHeight="1" thickBot="1" x14ac:dyDescent="0.3">
      <c r="A2" s="13"/>
      <c r="B2" s="13"/>
      <c r="C2" s="51" t="s">
        <v>57</v>
      </c>
      <c r="D2" s="51"/>
      <c r="E2" s="13"/>
      <c r="F2" s="12"/>
      <c r="G2" s="12"/>
      <c r="H2" s="12"/>
      <c r="I2" s="12"/>
      <c r="J2" s="1"/>
      <c r="K2" s="1"/>
    </row>
    <row r="3" spans="1:11" ht="6.75" customHeight="1" x14ac:dyDescent="0.25"/>
    <row r="4" spans="1:11" x14ac:dyDescent="0.25">
      <c r="C4" s="52" t="s">
        <v>7</v>
      </c>
      <c r="D4" s="131" t="s">
        <v>32</v>
      </c>
      <c r="E4" s="131"/>
      <c r="F4" s="52" t="s">
        <v>51</v>
      </c>
      <c r="G4" s="53" t="s">
        <v>1</v>
      </c>
      <c r="H4" s="131" t="s">
        <v>2</v>
      </c>
      <c r="I4" s="131"/>
    </row>
    <row r="5" spans="1:11" x14ac:dyDescent="0.25">
      <c r="C5" s="73" t="str">
        <f ca="1">_xll.SUBNM("24retail:organization","Workflow","101","Caption_Default")</f>
        <v/>
      </c>
      <c r="D5" s="123" t="str">
        <f ca="1">_xll.SUBNM("24retail:product","Default","20000","Caption_Default")</f>
        <v/>
      </c>
      <c r="E5" s="123"/>
      <c r="F5" s="73" t="str">
        <f ca="1">_xll.SUBNM("24retail:Month","MY","Year")</f>
        <v/>
      </c>
      <c r="G5" s="73" t="str">
        <f ca="1">_xll.SUBNM("24retail:Year","Default","Y2","Caption_Default")</f>
        <v/>
      </c>
      <c r="H5" s="123" t="str">
        <f ca="1">_xll.SUBNM("24retail:Version","Current",_xll.DBR("24retail:Calendar","Current Version","String"),"Caption_Default")</f>
        <v/>
      </c>
      <c r="I5" s="123"/>
    </row>
    <row r="7" spans="1:11" hidden="1" x14ac:dyDescent="0.25">
      <c r="E7" t="s">
        <v>31</v>
      </c>
      <c r="F7" s="86" t="s">
        <v>87</v>
      </c>
      <c r="G7" s="86" t="s">
        <v>88</v>
      </c>
      <c r="H7" s="86" t="s">
        <v>89</v>
      </c>
    </row>
    <row r="8" spans="1:11" x14ac:dyDescent="0.25">
      <c r="E8" s="54" t="s">
        <v>31</v>
      </c>
      <c r="F8" s="94" t="str">
        <f ca="1">_xll.DBRA("24retail:Channel",F7,"caption_default")</f>
        <v/>
      </c>
      <c r="G8" s="88" t="str">
        <f ca="1">_xll.DBRA("24retail:Channel",G7,"caption_default")</f>
        <v/>
      </c>
      <c r="H8" s="128" t="str">
        <f ca="1">_xll.DBRA("24retail:Channel",H7,"caption_default")</f>
        <v/>
      </c>
      <c r="I8" s="130" t="str">
        <f ca="1">_xll.DBRA("smartco:Channel",I7,"caption_default")</f>
        <v/>
      </c>
    </row>
    <row r="9" spans="1:11" x14ac:dyDescent="0.25">
      <c r="B9" s="86" t="s">
        <v>52</v>
      </c>
      <c r="C9" s="133" t="str">
        <f ca="1">_xll.DBRA("24retail:Revenue",$B9,"Caption_Default")</f>
        <v/>
      </c>
      <c r="D9" s="134"/>
      <c r="E9" s="63" t="str">
        <f ca="1">_xll.DBRW($E$1,$C$5,E$7,$D$5,$F$5,$G$5,$H$5,$C9)</f>
        <v/>
      </c>
      <c r="F9" s="57" t="str">
        <f ca="1">_xll.DBRW($E$1,$C$5,F$7,$D$5,$F$5,$G$5,$H$5,$C9)</f>
        <v/>
      </c>
      <c r="G9" s="57" t="str">
        <f ca="1">_xll.DBRW($E$1,$C$5,G$7,$D$5,$F$5,$G$5,$H$5,$C9)</f>
        <v/>
      </c>
      <c r="H9" s="135" t="str">
        <f ca="1">_xll.DBRW($E$1,$C$5,H$7,$D$5,$F$5,$G$5,$H$5,$C9)</f>
        <v/>
      </c>
      <c r="I9" s="135" t="str">
        <f ca="1">_xll.DBRW($E$1,$C$5,I$7,$D$5,$F$5,$G$5,$H$5,$C9)</f>
        <v/>
      </c>
    </row>
    <row r="10" spans="1:11" x14ac:dyDescent="0.25">
      <c r="B10" t="s">
        <v>46</v>
      </c>
      <c r="C10" s="133" t="str">
        <f ca="1">_xll.DBRA("24retail:Revenue",$B10,"Caption_Default")</f>
        <v/>
      </c>
      <c r="D10" s="134"/>
      <c r="E10" s="63" t="str">
        <f ca="1">_xll.DBRW($E$1,$C$5,E$7,$D$5,$F$5,$G$5,$H$5,$C10)</f>
        <v/>
      </c>
      <c r="F10" s="58" t="str">
        <f ca="1">_xll.DBRW($E$1,$C$5,F$7,$D$5,$F$5,$G$5,$H$5,$C10)</f>
        <v/>
      </c>
      <c r="G10" s="58" t="str">
        <f ca="1">_xll.DBRW($E$1,$C$5,G$7,$D$5,$F$5,$G$5,$H$5,$C10)</f>
        <v/>
      </c>
      <c r="H10" s="132" t="str">
        <f ca="1">_xll.DBRW($E$1,$C$5,H$7,$D$5,$F$5,$G$5,$H$5,$C10)</f>
        <v/>
      </c>
      <c r="I10" s="132" t="str">
        <f ca="1">_xll.DBRW($E$1,$C$5,I$7,$D$5,$F$5,$G$5,$H$5,$C10)</f>
        <v/>
      </c>
    </row>
    <row r="11" spans="1:11" x14ac:dyDescent="0.25">
      <c r="B11" t="s">
        <v>47</v>
      </c>
      <c r="C11" s="133" t="str">
        <f ca="1">_xll.DBRA("24retail:Revenue",$B11,"Caption_Default")</f>
        <v/>
      </c>
      <c r="D11" s="134"/>
      <c r="E11" s="64" t="str">
        <f ca="1">_xll.DBRW($E$1,$C$5,E$7,$D$5,$F$5,$G$5,$H$5,$C11)</f>
        <v/>
      </c>
      <c r="F11" s="58" t="str">
        <f ca="1">_xll.DBRW($E$1,$C$5,F$7,$D$5,$F$5,$G$5,$H$5,$C11)</f>
        <v/>
      </c>
      <c r="G11" s="58" t="str">
        <f ca="1">_xll.DBRW($E$1,$C$5,G$7,$D$5,$F$5,$G$5,$H$5,$C11)</f>
        <v/>
      </c>
      <c r="H11" s="132" t="str">
        <f ca="1">_xll.DBRW($E$1,$C$5,H$7,$D$5,$F$5,$G$5,$H$5,$C11)</f>
        <v/>
      </c>
      <c r="I11" s="132" t="str">
        <f ca="1">_xll.DBRW($E$1,$C$5,I$7,$D$5,$F$5,$G$5,$H$5,$C11)</f>
        <v/>
      </c>
    </row>
    <row r="12" spans="1:11" x14ac:dyDescent="0.25">
      <c r="B12" t="s">
        <v>53</v>
      </c>
      <c r="C12" s="133" t="str">
        <f ca="1">_xll.DBRA("24retail:Revenue",$B12,"Caption_Default")</f>
        <v/>
      </c>
      <c r="D12" s="134"/>
      <c r="E12" s="63" t="str">
        <f ca="1">_xll.DBRW($E$1,$C$5,E$7,$D$5,$F$5,$G$5,$H$5,$C12)</f>
        <v/>
      </c>
      <c r="F12" s="57" t="str">
        <f ca="1">_xll.DBRW($E$1,$C$5,F$7,$D$5,$F$5,$G$5,$H$5,$C12)</f>
        <v/>
      </c>
      <c r="G12" s="57" t="str">
        <f ca="1">_xll.DBRW($E$1,$C$5,G$7,$D$5,$F$5,$G$5,$H$5,$C12)</f>
        <v/>
      </c>
      <c r="H12" s="132" t="str">
        <f ca="1">_xll.DBRW($E$1,$C$5,H$7,$D$5,$F$5,$G$5,$H$5,$C12)</f>
        <v/>
      </c>
      <c r="I12" s="132" t="str">
        <f ca="1">_xll.DBRW($E$1,$C$5,I$7,$D$5,$F$5,$G$5,$H$5,$C12)</f>
        <v/>
      </c>
    </row>
    <row r="13" spans="1:11" x14ac:dyDescent="0.25">
      <c r="B13" t="s">
        <v>54</v>
      </c>
      <c r="C13" s="133" t="str">
        <f ca="1">_xll.DBRA("24retail:Revenue",$B13,"Caption_Default")</f>
        <v/>
      </c>
      <c r="D13" s="134"/>
      <c r="E13" s="64" t="str">
        <f ca="1">_xll.DBRW($E$1,$C$5,E$7,$D$5,$F$5,$G$5,$H$5,$C13)</f>
        <v/>
      </c>
      <c r="F13" s="58" t="str">
        <f ca="1">_xll.DBRW($E$1,$C$5,F$7,$D$5,$F$5,$G$5,$H$5,$C13)</f>
        <v/>
      </c>
      <c r="G13" s="58" t="str">
        <f ca="1">_xll.DBRW($E$1,$C$5,G$7,$D$5,$F$5,$G$5,$H$5,$C13)</f>
        <v/>
      </c>
      <c r="H13" s="132" t="str">
        <f ca="1">_xll.DBRW($E$1,$C$5,H$7,$D$5,$F$5,$G$5,$H$5,$C13)</f>
        <v/>
      </c>
      <c r="I13" s="132" t="str">
        <f ca="1">_xll.DBRW($E$1,$C$5,I$7,$D$5,$F$5,$G$5,$H$5,$C13)</f>
        <v/>
      </c>
    </row>
    <row r="14" spans="1:11" x14ac:dyDescent="0.25">
      <c r="B14" t="s">
        <v>55</v>
      </c>
      <c r="C14" s="133" t="str">
        <f ca="1">_xll.DBRA("24retail:Revenue",$B14,"Caption_Default")</f>
        <v/>
      </c>
      <c r="D14" s="134"/>
      <c r="E14" s="64" t="str">
        <f ca="1">_xll.DBRW($E$1,$C$5,E$7,$D$5,$F$5,$G$5,$H$5,$C14)</f>
        <v/>
      </c>
      <c r="F14" s="58" t="str">
        <f ca="1">_xll.DBRW($E$1,$C$5,F$7,$D$5,$F$5,$G$5,$H$5,$C14)</f>
        <v/>
      </c>
      <c r="G14" s="58" t="str">
        <f ca="1">_xll.DBRW($E$1,$C$5,G$7,$D$5,$F$5,$G$5,$H$5,$C14)</f>
        <v/>
      </c>
      <c r="H14" s="132" t="str">
        <f ca="1">_xll.DBRW($E$1,$C$5,H$7,$D$5,$F$5,$G$5,$H$5,$C14)</f>
        <v/>
      </c>
      <c r="I14" s="132" t="str">
        <f ca="1">_xll.DBRW($E$1,$C$5,I$7,$D$5,$F$5,$G$5,$H$5,$C14)</f>
        <v/>
      </c>
    </row>
    <row r="15" spans="1:11" x14ac:dyDescent="0.25">
      <c r="B15" t="s">
        <v>56</v>
      </c>
      <c r="C15" s="133" t="str">
        <f ca="1">_xll.DBRA("24retail:Revenue",$B15,"Caption_Default")</f>
        <v/>
      </c>
      <c r="D15" s="134"/>
      <c r="E15" s="65" t="str">
        <f ca="1">_xll.DBRW($E$1,$C$5,E$7,$D$5,$F$5,$G$5,$H$5,$C15)</f>
        <v/>
      </c>
      <c r="F15" s="59" t="str">
        <f ca="1">_xll.DBRW($E$1,$C$5,F$7,$D$5,$F$5,$G$5,$H$5,$C15)</f>
        <v/>
      </c>
      <c r="G15" s="59" t="str">
        <f ca="1">_xll.DBRW($E$1,$C$5,G$7,$D$5,$F$5,$G$5,$H$5,$C15)</f>
        <v/>
      </c>
      <c r="H15" s="132" t="str">
        <f ca="1">_xll.DBRW($E$1,$C$5,H$7,$D$5,$F$5,$G$5,$H$5,$C15)</f>
        <v/>
      </c>
      <c r="I15" s="132" t="str">
        <f ca="1">_xll.DBRW($E$1,$C$5,I$7,$D$5,$F$5,$G$5,$H$5,$C15)</f>
        <v/>
      </c>
    </row>
  </sheetData>
  <mergeCells count="19">
    <mergeCell ref="H15:I15"/>
    <mergeCell ref="C13:D13"/>
    <mergeCell ref="C14:D14"/>
    <mergeCell ref="C15:D15"/>
    <mergeCell ref="H9:I9"/>
    <mergeCell ref="H10:I10"/>
    <mergeCell ref="H11:I11"/>
    <mergeCell ref="H12:I12"/>
    <mergeCell ref="H13:I13"/>
    <mergeCell ref="C9:D9"/>
    <mergeCell ref="C10:D10"/>
    <mergeCell ref="C11:D11"/>
    <mergeCell ref="C12:D12"/>
    <mergeCell ref="H14:I14"/>
    <mergeCell ref="H4:I4"/>
    <mergeCell ref="H5:I5"/>
    <mergeCell ref="D5:E5"/>
    <mergeCell ref="D4:E4"/>
    <mergeCell ref="H8:I8"/>
  </mergeCells>
  <phoneticPr fontId="10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5"/>
  <sheetViews>
    <sheetView showGridLines="0" tabSelected="1" topLeftCell="A2" workbookViewId="0">
      <selection activeCell="V23" sqref="V23"/>
    </sheetView>
  </sheetViews>
  <sheetFormatPr defaultRowHeight="15" x14ac:dyDescent="0.25"/>
  <cols>
    <col min="1" max="1" width="1.28515625" customWidth="1"/>
    <col min="2" max="2" width="0.85546875" customWidth="1"/>
    <col min="3" max="4" width="10.7109375" customWidth="1"/>
    <col min="5" max="8" width="8.7109375" customWidth="1"/>
    <col min="9" max="9" width="1.140625" customWidth="1"/>
    <col min="10" max="10" width="7.85546875" customWidth="1"/>
    <col min="11" max="11" width="0.85546875" customWidth="1"/>
    <col min="12" max="18" width="8.7109375" customWidth="1"/>
    <col min="19" max="19" width="8" customWidth="1"/>
    <col min="20" max="20" width="1.140625" customWidth="1"/>
  </cols>
  <sheetData>
    <row r="1" spans="1:20" hidden="1" x14ac:dyDescent="0.25">
      <c r="A1" s="1"/>
      <c r="B1" s="1" t="s">
        <v>18</v>
      </c>
      <c r="C1" s="1"/>
      <c r="D1" s="1" t="str">
        <f ca="1">_xll.VIEW("24retail:Revenue",$B$5,$F$5,"!","!",$I$5,$N$5,$B$17)</f>
        <v>24retail:Revenue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7.5" customHeight="1" thickBot="1" x14ac:dyDescent="0.3">
      <c r="A2" s="27"/>
      <c r="B2" s="28"/>
      <c r="C2" s="55" t="s">
        <v>50</v>
      </c>
      <c r="D2" s="27"/>
      <c r="E2" s="27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</row>
    <row r="3" spans="1:20" ht="7.5" customHeight="1" x14ac:dyDescent="0.25"/>
    <row r="4" spans="1:20" s="4" customFormat="1" ht="15" customHeight="1" x14ac:dyDescent="0.25">
      <c r="B4" s="122" t="s">
        <v>7</v>
      </c>
      <c r="C4" s="122"/>
      <c r="D4" s="122"/>
      <c r="E4" s="122"/>
      <c r="F4" s="122" t="s">
        <v>0</v>
      </c>
      <c r="G4" s="122"/>
      <c r="H4" s="122"/>
      <c r="I4" s="122" t="s">
        <v>1</v>
      </c>
      <c r="J4" s="122"/>
      <c r="K4" s="122"/>
      <c r="L4" s="122"/>
      <c r="M4" s="122"/>
      <c r="N4" s="122" t="s">
        <v>2</v>
      </c>
      <c r="O4" s="122"/>
      <c r="P4" s="122"/>
    </row>
    <row r="5" spans="1:20" s="4" customFormat="1" ht="15" customHeight="1" x14ac:dyDescent="0.25">
      <c r="B5" s="123" t="str">
        <f ca="1">_xll.SUBNM("24retail:organization","Workflow","101","Caption_Default")</f>
        <v/>
      </c>
      <c r="C5" s="123"/>
      <c r="D5" s="123"/>
      <c r="E5" s="123"/>
      <c r="F5" s="123" t="str">
        <f ca="1">_xll.SUBNM("24retail:Channel","Default","10","Caption_Default")</f>
        <v/>
      </c>
      <c r="G5" s="123"/>
      <c r="H5" s="123"/>
      <c r="I5" s="123" t="str">
        <f ca="1">_xll.SUBNM("24retail:Year","Default","Y2","Caption_Default")</f>
        <v/>
      </c>
      <c r="J5" s="123"/>
      <c r="K5" s="123"/>
      <c r="L5" s="123"/>
      <c r="M5" s="123"/>
      <c r="N5" s="123" t="str">
        <f ca="1">_xll.SUBNM("24retail:Version","Current",_xll.DBR("24retail:Calendar","Current Version","String"),"Caption_Default")</f>
        <v/>
      </c>
      <c r="O5" s="123"/>
      <c r="P5" s="123"/>
    </row>
    <row r="6" spans="1:20" s="4" customFormat="1" ht="8.25" customHeight="1" x14ac:dyDescent="0.25"/>
    <row r="7" spans="1:20" s="4" customFormat="1" ht="5.25" customHeight="1" x14ac:dyDescent="0.25">
      <c r="B7" s="30"/>
      <c r="C7" s="31"/>
      <c r="D7" s="31"/>
      <c r="E7" s="31"/>
      <c r="F7" s="31"/>
      <c r="G7" s="31"/>
      <c r="H7" s="31"/>
      <c r="I7" s="32"/>
      <c r="K7" s="30"/>
      <c r="L7" s="31"/>
      <c r="M7" s="31"/>
      <c r="N7" s="31"/>
      <c r="O7" s="31"/>
      <c r="P7" s="31"/>
      <c r="Q7" s="31"/>
      <c r="R7" s="31"/>
      <c r="S7" s="31"/>
      <c r="T7" s="32"/>
    </row>
    <row r="8" spans="1:20" s="4" customFormat="1" ht="15" customHeight="1" x14ac:dyDescent="0.25">
      <c r="B8" s="33"/>
      <c r="C8" s="136" t="s">
        <v>35</v>
      </c>
      <c r="D8" s="137"/>
      <c r="E8" s="138"/>
      <c r="F8" s="147" t="str">
        <f ca="1">_xll.SUBNM("24retail:product","Groups","22000","Caption_Default")</f>
        <v/>
      </c>
      <c r="G8" s="147"/>
      <c r="H8" s="147"/>
      <c r="I8" s="34"/>
      <c r="K8" s="33"/>
      <c r="L8" s="140" t="s">
        <v>45</v>
      </c>
      <c r="M8" s="140"/>
      <c r="N8" s="140"/>
      <c r="O8" s="141">
        <v>600</v>
      </c>
      <c r="P8" s="141"/>
      <c r="Q8" s="24"/>
      <c r="R8" s="24"/>
      <c r="S8" s="24"/>
      <c r="T8" s="40"/>
    </row>
    <row r="9" spans="1:20" s="4" customFormat="1" ht="15" customHeight="1" x14ac:dyDescent="0.2">
      <c r="B9" s="33"/>
      <c r="C9" s="77" t="s">
        <v>36</v>
      </c>
      <c r="D9" s="78"/>
      <c r="E9" s="79"/>
      <c r="F9" s="148"/>
      <c r="G9" s="149"/>
      <c r="H9" s="150"/>
      <c r="I9" s="34"/>
      <c r="K9" s="33"/>
      <c r="L9" s="60"/>
      <c r="M9" s="60"/>
      <c r="N9" s="60"/>
      <c r="O9" s="24"/>
      <c r="P9" s="24"/>
      <c r="Q9" s="24"/>
      <c r="R9" s="24"/>
      <c r="S9" s="24"/>
      <c r="T9" s="40"/>
    </row>
    <row r="10" spans="1:20" s="4" customFormat="1" ht="15" customHeight="1" x14ac:dyDescent="0.25">
      <c r="B10" s="33"/>
      <c r="C10" s="77" t="s">
        <v>37</v>
      </c>
      <c r="D10" s="78"/>
      <c r="E10" s="79"/>
      <c r="F10" s="146"/>
      <c r="G10" s="146"/>
      <c r="H10" s="146"/>
      <c r="I10" s="34"/>
      <c r="K10" s="33"/>
      <c r="L10" s="140" t="s">
        <v>38</v>
      </c>
      <c r="M10" s="140"/>
      <c r="N10" s="140"/>
      <c r="O10" s="141" t="str">
        <f ca="1">_xll.SUBNM("24retail:product","All Members","21001","Caption_Default")</f>
        <v/>
      </c>
      <c r="P10" s="141"/>
      <c r="Q10" s="24"/>
      <c r="R10" s="24"/>
      <c r="S10" s="24"/>
      <c r="T10" s="40"/>
    </row>
    <row r="11" spans="1:20" s="4" customFormat="1" ht="6" customHeight="1" x14ac:dyDescent="0.25">
      <c r="B11" s="46"/>
      <c r="C11" s="23"/>
      <c r="D11" s="23"/>
      <c r="E11" s="23"/>
      <c r="F11" s="23"/>
      <c r="G11" s="23"/>
      <c r="H11" s="23"/>
      <c r="I11" s="35"/>
      <c r="K11" s="33"/>
      <c r="L11" s="60"/>
      <c r="M11" s="60"/>
      <c r="N11" s="60"/>
      <c r="O11" s="24"/>
      <c r="P11" s="24"/>
      <c r="Q11" s="24"/>
      <c r="R11" s="24"/>
      <c r="S11" s="24"/>
      <c r="T11" s="40"/>
    </row>
    <row r="12" spans="1:20" s="9" customFormat="1" ht="15" customHeight="1" x14ac:dyDescent="0.25">
      <c r="B12" s="46"/>
      <c r="C12" s="23"/>
      <c r="D12" s="23"/>
      <c r="E12" s="23"/>
      <c r="F12" s="23"/>
      <c r="G12" s="23"/>
      <c r="H12" s="23"/>
      <c r="I12" s="35"/>
      <c r="K12" s="36"/>
      <c r="L12" s="140" t="s">
        <v>39</v>
      </c>
      <c r="M12" s="140"/>
      <c r="N12" s="140"/>
      <c r="O12" s="141" t="str">
        <f ca="1">_xll.SUBNM("24retail:spread methods","","Even on Qtr End","Caption_Default")</f>
        <v/>
      </c>
      <c r="P12" s="141"/>
      <c r="Q12" s="25"/>
      <c r="R12" s="25"/>
      <c r="S12" s="25"/>
      <c r="T12" s="41"/>
    </row>
    <row r="13" spans="1:20" x14ac:dyDescent="0.25">
      <c r="B13" s="47"/>
      <c r="C13" s="38"/>
      <c r="D13" s="38"/>
      <c r="E13" s="38"/>
      <c r="F13" s="38"/>
      <c r="G13" s="38"/>
      <c r="H13" s="38"/>
      <c r="I13" s="39"/>
      <c r="K13" s="37"/>
      <c r="L13" s="42"/>
      <c r="M13" s="42"/>
      <c r="N13" s="42"/>
      <c r="O13" s="42"/>
      <c r="P13" s="42"/>
      <c r="Q13" s="42"/>
      <c r="R13" s="42"/>
      <c r="S13" s="42"/>
      <c r="T13" s="43"/>
    </row>
    <row r="14" spans="1:20" hidden="1" x14ac:dyDescent="0.25"/>
    <row r="15" spans="1:20" hidden="1" x14ac:dyDescent="0.25"/>
    <row r="17" spans="2:20" s="4" customFormat="1" ht="13.5" customHeight="1" x14ac:dyDescent="0.25">
      <c r="B17" s="144" t="str">
        <f ca="1">_xll.DBRA("24retail:Revenue",$D$21,"Caption_Default")</f>
        <v/>
      </c>
      <c r="C17" s="144"/>
      <c r="D17" s="144"/>
      <c r="E17" s="48" t="s">
        <v>19</v>
      </c>
      <c r="F17" s="48" t="s">
        <v>20</v>
      </c>
      <c r="G17" s="48" t="s">
        <v>21</v>
      </c>
      <c r="H17" s="48" t="s">
        <v>22</v>
      </c>
      <c r="I17" s="142" t="s">
        <v>23</v>
      </c>
      <c r="J17" s="142"/>
      <c r="K17" s="142" t="s">
        <v>24</v>
      </c>
      <c r="L17" s="142"/>
      <c r="M17" s="48" t="s">
        <v>25</v>
      </c>
      <c r="N17" s="48" t="s">
        <v>26</v>
      </c>
      <c r="O17" s="48" t="s">
        <v>27</v>
      </c>
      <c r="P17" s="48" t="s">
        <v>28</v>
      </c>
      <c r="Q17" s="48" t="s">
        <v>29</v>
      </c>
      <c r="R17" s="48" t="s">
        <v>30</v>
      </c>
      <c r="S17" s="142" t="s">
        <v>1</v>
      </c>
      <c r="T17" s="142"/>
    </row>
    <row r="18" spans="2:20" s="4" customFormat="1" ht="13.5" customHeight="1" x14ac:dyDescent="0.25">
      <c r="B18" s="139" t="str">
        <f ca="1">_xll.SUBNM("24retail:product","Compare",1)</f>
        <v/>
      </c>
      <c r="C18" s="139"/>
      <c r="D18" s="139"/>
      <c r="E18" s="56" t="str">
        <f ca="1">_xll.DBRW($D$1,$B$5,$F$5,$B18,E$17,$I$5,$N$5,$D$21)</f>
        <v/>
      </c>
      <c r="F18" s="56" t="str">
        <f ca="1">_xll.DBRW($D$1,$B$5,$F$5,$B18,F$17,$I$5,$N$5,$D$21)</f>
        <v/>
      </c>
      <c r="G18" s="56" t="str">
        <f ca="1">_xll.DBRW($D$1,$B$5,$F$5,$B18,G$17,$I$5,$N$5,$D$21)</f>
        <v/>
      </c>
      <c r="H18" s="56" t="str">
        <f ca="1">_xll.DBRW($D$1,$B$5,$F$5,$B18,H$17,$I$5,$N$5,$D$21)</f>
        <v/>
      </c>
      <c r="I18" s="143" t="str">
        <f ca="1">_xll.DBRW($D$1,$B$5,$F$5,$B18,I$17,$I$5,$N$5,$D$21)</f>
        <v/>
      </c>
      <c r="J18" s="143" t="str">
        <f ca="1">_xll.DBRW($D$1,$B$5,$F$5,$B18,J$17,$I$5,$N$5,$D$21)</f>
        <v/>
      </c>
      <c r="K18" s="143" t="str">
        <f ca="1">_xll.DBRW($D$1,$B$5,$F$5,$B18,K$17,$I$5,$N$5,$D$21)</f>
        <v/>
      </c>
      <c r="L18" s="143" t="str">
        <f ca="1">_xll.DBRW($D$1,$B$5,$F$5,$B18,L$17,$I$5,$N$5,$D$21)</f>
        <v/>
      </c>
      <c r="M18" s="56" t="str">
        <f ca="1">_xll.DBRW($D$1,$B$5,$F$5,$B18,M$17,$I$5,$N$5,$D$21)</f>
        <v/>
      </c>
      <c r="N18" s="56" t="str">
        <f ca="1">_xll.DBRW($D$1,$B$5,$F$5,$B18,N$17,$I$5,$N$5,$D$21)</f>
        <v/>
      </c>
      <c r="O18" s="56" t="str">
        <f ca="1">_xll.DBRW($D$1,$B$5,$F$5,$B18,O$17,$I$5,$N$5,$D$21)</f>
        <v/>
      </c>
      <c r="P18" s="56" t="str">
        <f ca="1">_xll.DBRW($D$1,$B$5,$F$5,$B18,P$17,$I$5,$N$5,$D$21)</f>
        <v/>
      </c>
      <c r="Q18" s="56" t="str">
        <f ca="1">_xll.DBRW($D$1,$B$5,$F$5,$B18,Q$17,$I$5,$N$5,$D$21)</f>
        <v/>
      </c>
      <c r="R18" s="56" t="str">
        <f ca="1">_xll.DBRW($D$1,$B$5,$F$5,$B18,R$17,$I$5,$N$5,$D$21)</f>
        <v/>
      </c>
      <c r="S18" s="143" t="str">
        <f ca="1">_xll.DBRW($D$1,$B$5,$F$5,$B18,S$17,$I$5,$N$5,$D$21)</f>
        <v/>
      </c>
      <c r="T18" s="143" t="str">
        <f ca="1">_xll.DBRW($D$1,$B$5,$F$5,$B18,T$17,$I$5,$N$5,$D$21)</f>
        <v/>
      </c>
    </row>
    <row r="19" spans="2:20" s="4" customFormat="1" ht="13.5" customHeight="1" x14ac:dyDescent="0.25">
      <c r="B19" s="139" t="str">
        <f ca="1">_xll.SUBNM("24retail:product","New",1,"Caption_Default")</f>
        <v/>
      </c>
      <c r="C19" s="139"/>
      <c r="D19" s="139"/>
      <c r="E19" s="56" t="str">
        <f ca="1">_xll.DBRW($D$1,$B$5,$F$5,$B19,E$17,$I$5,$N$5,$D$21)</f>
        <v/>
      </c>
      <c r="F19" s="56" t="str">
        <f ca="1">_xll.DBRW($D$1,$B$5,$F$5,$B19,F$17,$I$5,$N$5,$D$21)</f>
        <v/>
      </c>
      <c r="G19" s="56" t="str">
        <f ca="1">_xll.DBRW($D$1,$B$5,$F$5,$B19,G$17,$I$5,$N$5,$D$21)</f>
        <v/>
      </c>
      <c r="H19" s="56" t="str">
        <f ca="1">_xll.DBRW($D$1,$B$5,$F$5,$B19,H$17,$I$5,$N$5,$D$21)</f>
        <v/>
      </c>
      <c r="I19" s="143" t="str">
        <f ca="1">_xll.DBRW($D$1,$B$5,$F$5,$B19,I$17,$I$5,$N$5,$D$21)</f>
        <v/>
      </c>
      <c r="J19" s="143" t="str">
        <f ca="1">_xll.DBRW($D$1,$B$5,$F$5,$B19,J$17,$I$5,$N$5,$D$21)</f>
        <v/>
      </c>
      <c r="K19" s="143" t="str">
        <f ca="1">_xll.DBRW($D$1,$B$5,$F$5,$B19,K$17,$I$5,$N$5,$D$21)</f>
        <v/>
      </c>
      <c r="L19" s="143" t="str">
        <f ca="1">_xll.DBRW($D$1,$B$5,$F$5,$B19,L$17,$I$5,$N$5,$D$21)</f>
        <v/>
      </c>
      <c r="M19" s="56" t="str">
        <f ca="1">_xll.DBRW($D$1,$B$5,$F$5,$B19,M$17,$I$5,$N$5,$D$21)</f>
        <v/>
      </c>
      <c r="N19" s="56" t="str">
        <f ca="1">_xll.DBRW($D$1,$B$5,$F$5,$B19,N$17,$I$5,$N$5,$D$21)</f>
        <v/>
      </c>
      <c r="O19" s="56" t="str">
        <f ca="1">_xll.DBRW($D$1,$B$5,$F$5,$B19,O$17,$I$5,$N$5,$D$21)</f>
        <v/>
      </c>
      <c r="P19" s="56" t="str">
        <f ca="1">_xll.DBRW($D$1,$B$5,$F$5,$B19,P$17,$I$5,$N$5,$D$21)</f>
        <v/>
      </c>
      <c r="Q19" s="56" t="str">
        <f ca="1">_xll.DBRW($D$1,$B$5,$F$5,$B19,Q$17,$I$5,$N$5,$D$21)</f>
        <v/>
      </c>
      <c r="R19" s="56" t="str">
        <f ca="1">_xll.DBRW($D$1,$B$5,$F$5,$B19,R$17,$I$5,$N$5,$D$21)</f>
        <v/>
      </c>
      <c r="S19" s="143" t="str">
        <f ca="1">_xll.DBRW($D$1,$B$5,$F$5,$B19,S$17,$I$5,$N$5,$D$21)</f>
        <v/>
      </c>
      <c r="T19" s="143" t="str">
        <f ca="1">_xll.DBRW($D$1,$B$5,$F$5,$B19,T$17,$I$5,$N$5,$D$21)</f>
        <v/>
      </c>
    </row>
    <row r="20" spans="2:20" s="6" customFormat="1" ht="3.75" customHeight="1" x14ac:dyDescent="0.25">
      <c r="B20" s="109"/>
      <c r="C20" s="109"/>
      <c r="D20" s="109"/>
      <c r="E20" s="110"/>
      <c r="F20" s="110"/>
      <c r="G20" s="110"/>
      <c r="H20" s="110"/>
      <c r="I20" s="111"/>
      <c r="J20" s="111"/>
      <c r="K20" s="111"/>
      <c r="L20" s="111"/>
      <c r="M20" s="110"/>
      <c r="N20" s="110"/>
      <c r="O20" s="110"/>
      <c r="P20" s="110"/>
      <c r="Q20" s="110"/>
      <c r="R20" s="110"/>
      <c r="S20" s="111"/>
      <c r="T20" s="111"/>
    </row>
    <row r="21" spans="2:20" s="26" customFormat="1" ht="24" customHeight="1" x14ac:dyDescent="0.25">
      <c r="B21" s="112"/>
      <c r="C21" s="112"/>
      <c r="D21" s="114" t="s">
        <v>46</v>
      </c>
      <c r="E21" s="115" t="s">
        <v>19</v>
      </c>
      <c r="F21" s="115" t="s">
        <v>20</v>
      </c>
      <c r="G21" s="115" t="s">
        <v>21</v>
      </c>
      <c r="H21" s="115" t="s">
        <v>22</v>
      </c>
      <c r="I21" s="116" t="s">
        <v>23</v>
      </c>
      <c r="J21" s="117" t="s">
        <v>24</v>
      </c>
      <c r="K21" s="115" t="s">
        <v>25</v>
      </c>
      <c r="L21" s="115" t="s">
        <v>26</v>
      </c>
      <c r="M21" s="115" t="s">
        <v>27</v>
      </c>
      <c r="N21" s="115" t="s">
        <v>28</v>
      </c>
      <c r="O21" s="115" t="s">
        <v>29</v>
      </c>
      <c r="P21" s="115" t="s">
        <v>30</v>
      </c>
      <c r="Q21" s="151" t="s">
        <v>1</v>
      </c>
      <c r="R21" s="151"/>
      <c r="S21" s="118"/>
      <c r="T21" s="118"/>
    </row>
    <row r="22" spans="2:20" s="26" customFormat="1" ht="24" customHeight="1" x14ac:dyDescent="0.25">
      <c r="B22" s="112"/>
      <c r="C22" s="112"/>
      <c r="D22" s="119" t="str">
        <f ca="1">_xll.SUBNM("24retail:product","Compare",1)</f>
        <v/>
      </c>
      <c r="E22" s="120" t="str">
        <f ca="1">_xll.DBRW($D$1,$B$5,$F$5,$D22,E$17,$I$5,$N$5,$D$21)</f>
        <v/>
      </c>
      <c r="F22" s="120" t="str">
        <f ca="1">_xll.DBRW($D$1,$B$5,$F$5,$D22,F$17,$I$5,$N$5,$D$21)</f>
        <v/>
      </c>
      <c r="G22" s="120" t="str">
        <f ca="1">_xll.DBRW($D$1,$B$5,$F$5,$D22,G$17,$I$5,$N$5,$D$21)</f>
        <v/>
      </c>
      <c r="H22" s="120" t="str">
        <f ca="1">_xll.DBRW($D$1,$B$5,$F$5,$D22,H$17,$I$5,$N$5,$D$21)</f>
        <v/>
      </c>
      <c r="I22" s="120" t="str">
        <f ca="1">_xll.DBRW($D$1,$B$5,$F$5,$D22,I$17,$I$5,$N$5,$D$21)</f>
        <v/>
      </c>
      <c r="J22" s="120" t="str">
        <f ca="1">_xll.DBRW($D$1,$B$5,$F$5,$D22,J$17,$I$5,$N$5,$D$21)</f>
        <v/>
      </c>
      <c r="K22" s="120" t="str">
        <f ca="1">_xll.DBRW($D$1,$B$5,$F$5,$D22,K$17,$I$5,$N$5,$D$21)</f>
        <v/>
      </c>
      <c r="L22" s="120" t="str">
        <f ca="1">_xll.DBRW($D$1,$B$5,$F$5,$D22,L$17,$I$5,$N$5,$D$21)</f>
        <v/>
      </c>
      <c r="M22" s="120" t="str">
        <f ca="1">_xll.DBRW($D$1,$B$5,$F$5,$D22,M$17,$I$5,$N$5,$D$21)</f>
        <v/>
      </c>
      <c r="N22" s="120" t="str">
        <f ca="1">_xll.DBRW($D$1,$B$5,$F$5,$D22,N$17,$I$5,$N$5,$D$21)</f>
        <v/>
      </c>
      <c r="O22" s="120" t="str">
        <f ca="1">_xll.DBRW($D$1,$B$5,$F$5,$D22,O$17,$I$5,$N$5,$D$21)</f>
        <v/>
      </c>
      <c r="P22" s="120" t="str">
        <f ca="1">_xll.DBRW($D$1,$B$5,$F$5,$D22,P$17,$I$5,$N$5,$D$21)</f>
        <v/>
      </c>
      <c r="Q22" s="145" t="str">
        <f ca="1">_xll.DBRW($D$1,$B$5,$F$5,$D22,Q$17,$I$5,$N$5,$D$21)</f>
        <v/>
      </c>
      <c r="R22" s="145" t="str">
        <f ca="1">_xll.DBRW($D$1,$B$5,$F$5,$D22,R$17,$I$5,$N$5,$D$21)</f>
        <v/>
      </c>
      <c r="S22" s="118"/>
      <c r="T22" s="118"/>
    </row>
    <row r="23" spans="2:20" s="26" customFormat="1" ht="24" customHeight="1" x14ac:dyDescent="0.25">
      <c r="B23" s="112"/>
      <c r="C23" s="112"/>
      <c r="D23" s="119" t="str">
        <f ca="1">_xll.SUBNM("24retail:product","New",1,"Caption_Default")</f>
        <v/>
      </c>
      <c r="E23" s="120" t="str">
        <f ca="1">_xll.DBRW($D$1,$B$5,$F$5,$D23,E$17,$I$5,$N$5,$D$21)</f>
        <v/>
      </c>
      <c r="F23" s="120" t="str">
        <f ca="1">_xll.DBRW($D$1,$B$5,$F$5,$D23,F$17,$I$5,$N$5,$D$21)</f>
        <v/>
      </c>
      <c r="G23" s="120" t="str">
        <f ca="1">_xll.DBRW($D$1,$B$5,$F$5,$D23,G$17,$I$5,$N$5,$D$21)</f>
        <v/>
      </c>
      <c r="H23" s="120" t="str">
        <f ca="1">_xll.DBRW($D$1,$B$5,$F$5,$D23,H$17,$I$5,$N$5,$D$21)</f>
        <v/>
      </c>
      <c r="I23" s="120" t="str">
        <f ca="1">_xll.DBRW($D$1,$B$5,$F$5,$D23,I$17,$I$5,$N$5,$D$21)</f>
        <v/>
      </c>
      <c r="J23" s="120" t="str">
        <f ca="1">_xll.DBRW($D$1,$B$5,$F$5,$D23,J$17,$I$5,$N$5,$D$21)</f>
        <v/>
      </c>
      <c r="K23" s="120" t="str">
        <f ca="1">_xll.DBRW($D$1,$B$5,$F$5,$D23,K$17,$I$5,$N$5,$D$21)</f>
        <v/>
      </c>
      <c r="L23" s="120" t="str">
        <f ca="1">_xll.DBRW($D$1,$B$5,$F$5,$D23,L$17,$I$5,$N$5,$D$21)</f>
        <v/>
      </c>
      <c r="M23" s="120" t="str">
        <f ca="1">_xll.DBRW($D$1,$B$5,$F$5,$D23,M$17,$I$5,$N$5,$D$21)</f>
        <v/>
      </c>
      <c r="N23" s="120" t="str">
        <f ca="1">_xll.DBRW($D$1,$B$5,$F$5,$D23,N$17,$I$5,$N$5,$D$21)</f>
        <v/>
      </c>
      <c r="O23" s="120" t="str">
        <f ca="1">_xll.DBRW($D$1,$B$5,$F$5,$D23,O$17,$I$5,$N$5,$D$21)</f>
        <v/>
      </c>
      <c r="P23" s="120" t="str">
        <f ca="1">_xll.DBRW($D$1,$B$5,$F$5,$D23,P$17,$I$5,$N$5,$D$21)</f>
        <v/>
      </c>
      <c r="Q23" s="145" t="str">
        <f ca="1">_xll.DBRW($D$1,$B$5,$F$5,$D23,Q$17,$I$5,$N$5,$D$21)</f>
        <v/>
      </c>
      <c r="R23" s="145" t="str">
        <f ca="1">_xll.DBRW($D$1,$B$5,$F$5,$D23,R$17,$I$5,$N$5,$D$21)</f>
        <v/>
      </c>
      <c r="S23" s="118"/>
      <c r="T23" s="118"/>
    </row>
    <row r="24" spans="2:20" ht="24" customHeight="1" x14ac:dyDescent="0.25">
      <c r="B24" s="113"/>
      <c r="C24" s="113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</row>
    <row r="25" spans="2:20" ht="24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</row>
  </sheetData>
  <mergeCells count="33">
    <mergeCell ref="S19:T19"/>
    <mergeCell ref="Q21:R21"/>
    <mergeCell ref="I5:M5"/>
    <mergeCell ref="K17:L17"/>
    <mergeCell ref="K18:L18"/>
    <mergeCell ref="S17:T17"/>
    <mergeCell ref="S18:T18"/>
    <mergeCell ref="Q23:R23"/>
    <mergeCell ref="Q22:R22"/>
    <mergeCell ref="B4:E4"/>
    <mergeCell ref="F4:H4"/>
    <mergeCell ref="N4:P4"/>
    <mergeCell ref="B5:E5"/>
    <mergeCell ref="F5:H5"/>
    <mergeCell ref="N5:P5"/>
    <mergeCell ref="O10:P10"/>
    <mergeCell ref="F10:H10"/>
    <mergeCell ref="I4:M4"/>
    <mergeCell ref="F8:H8"/>
    <mergeCell ref="L8:N8"/>
    <mergeCell ref="O8:P8"/>
    <mergeCell ref="F9:H9"/>
    <mergeCell ref="L10:N10"/>
    <mergeCell ref="C8:E8"/>
    <mergeCell ref="B19:D19"/>
    <mergeCell ref="L12:N12"/>
    <mergeCell ref="O12:P12"/>
    <mergeCell ref="I17:J17"/>
    <mergeCell ref="I18:J18"/>
    <mergeCell ref="I19:J19"/>
    <mergeCell ref="K19:L19"/>
    <mergeCell ref="B17:D17"/>
    <mergeCell ref="B18:D18"/>
  </mergeCells>
  <phoneticPr fontId="0" type="noConversion"/>
  <pageMargins left="0.7" right="0.7" top="0.75" bottom="0.75" header="0.3" footer="0.3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3" r:id="rId4" name="TIButton3">
          <controlPr defaultSize="0" print="0" autoLine="0" r:id="rId5">
            <anchor moveWithCells="1">
              <from>
                <xdr:col>5</xdr:col>
                <xdr:colOff>247650</xdr:colOff>
                <xdr:row>11</xdr:row>
                <xdr:rowOff>19050</xdr:rowOff>
              </from>
              <to>
                <xdr:col>8</xdr:col>
                <xdr:colOff>0</xdr:colOff>
                <xdr:row>15</xdr:row>
                <xdr:rowOff>123825</xdr:rowOff>
              </to>
            </anchor>
          </controlPr>
        </control>
      </mc:Choice>
      <mc:Fallback>
        <control shapeId="46083" r:id="rId4" name="TIButton3"/>
      </mc:Fallback>
    </mc:AlternateContent>
    <mc:AlternateContent xmlns:mc="http://schemas.openxmlformats.org/markup-compatibility/2006">
      <mc:Choice Requires="x14">
        <control shapeId="46084" r:id="rId6" name="TIButton1">
          <controlPr defaultSize="0" print="0" autoLine="0" r:id="rId7">
            <anchor moveWithCells="1">
              <from>
                <xdr:col>16</xdr:col>
                <xdr:colOff>314325</xdr:colOff>
                <xdr:row>8</xdr:row>
                <xdr:rowOff>76200</xdr:rowOff>
              </from>
              <to>
                <xdr:col>20</xdr:col>
                <xdr:colOff>38100</xdr:colOff>
                <xdr:row>11</xdr:row>
                <xdr:rowOff>104775</xdr:rowOff>
              </to>
            </anchor>
          </controlPr>
        </control>
      </mc:Choice>
      <mc:Fallback>
        <control shapeId="46084" r:id="rId6" name="TIButton1"/>
      </mc:Fallback>
    </mc:AlternateContent>
    <mc:AlternateContent xmlns:mc="http://schemas.openxmlformats.org/markup-compatibility/2006">
      <mc:Choice Requires="x14">
        <control shapeId="46085" r:id="rId8" name="TIButton2">
          <controlPr defaultSize="0" print="0" autoLine="0" r:id="rId9">
            <anchor moveWithCells="1">
              <from>
                <xdr:col>13</xdr:col>
                <xdr:colOff>276225</xdr:colOff>
                <xdr:row>1</xdr:row>
                <xdr:rowOff>85725</xdr:rowOff>
              </from>
              <to>
                <xdr:col>16</xdr:col>
                <xdr:colOff>28575</xdr:colOff>
                <xdr:row>3</xdr:row>
                <xdr:rowOff>0</xdr:rowOff>
              </to>
            </anchor>
          </controlPr>
        </control>
      </mc:Choice>
      <mc:Fallback>
        <control shapeId="46085" r:id="rId8" name="TIButton2"/>
      </mc:Fallback>
    </mc:AlternateContent>
    <mc:AlternateContent xmlns:mc="http://schemas.openxmlformats.org/markup-compatibility/2006">
      <mc:Choice Requires="x14">
        <control shapeId="46086" r:id="rId10" name="TIButton4">
          <controlPr defaultSize="0" print="0" autoLine="0" r:id="rId11">
            <anchor moveWithCells="1">
              <from>
                <xdr:col>16</xdr:col>
                <xdr:colOff>314325</xdr:colOff>
                <xdr:row>11</xdr:row>
                <xdr:rowOff>9525</xdr:rowOff>
              </from>
              <to>
                <xdr:col>20</xdr:col>
                <xdr:colOff>38100</xdr:colOff>
                <xdr:row>15</xdr:row>
                <xdr:rowOff>114300</xdr:rowOff>
              </to>
            </anchor>
          </controlPr>
        </control>
      </mc:Choice>
      <mc:Fallback>
        <control shapeId="46086" r:id="rId10" name="TIButton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3"/>
  <sheetViews>
    <sheetView workbookViewId="0"/>
  </sheetViews>
  <sheetFormatPr defaultRowHeight="15" x14ac:dyDescent="0.25"/>
  <cols>
    <col min="1" max="1" width="17" customWidth="1"/>
    <col min="7" max="7" width="14.85546875" customWidth="1"/>
  </cols>
  <sheetData>
    <row r="1" spans="1:13" x14ac:dyDescent="0.25">
      <c r="A1" s="2" t="s">
        <v>10</v>
      </c>
      <c r="D1" s="2" t="s">
        <v>16</v>
      </c>
      <c r="G1" s="2" t="s">
        <v>41</v>
      </c>
      <c r="H1" s="2"/>
      <c r="I1" s="2" t="s">
        <v>42</v>
      </c>
      <c r="J1" s="2"/>
      <c r="K1" s="2"/>
      <c r="L1" s="2"/>
      <c r="M1" s="2" t="s">
        <v>43</v>
      </c>
    </row>
    <row r="2" spans="1:13" x14ac:dyDescent="0.25">
      <c r="A2" t="s">
        <v>11</v>
      </c>
      <c r="D2" t="s">
        <v>9</v>
      </c>
      <c r="E2">
        <v>1</v>
      </c>
      <c r="G2" t="s">
        <v>44</v>
      </c>
      <c r="I2" t="str">
        <f ca="1">_xll.SUBNM("24retail:product","Product Groups",ROW()-1,"Label")</f>
        <v/>
      </c>
      <c r="M2" t="str">
        <f ca="1">_xll.SUBNM("24retail:Spread Methods","Default",ROW()-1,"Caption_Default")</f>
        <v/>
      </c>
    </row>
    <row r="3" spans="1:13" x14ac:dyDescent="0.25">
      <c r="A3" t="s">
        <v>12</v>
      </c>
      <c r="D3" t="s">
        <v>17</v>
      </c>
      <c r="E3">
        <v>0</v>
      </c>
      <c r="G3" t="s">
        <v>40</v>
      </c>
      <c r="I3" t="str">
        <f ca="1">_xll.SUBNM("24retail:product","Product Groups",ROW()-1,"Label")</f>
        <v/>
      </c>
      <c r="M3" t="str">
        <f ca="1">_xll.SUBNM("24retail:Spread Methods","Default",ROW()-1,"Caption_Default")</f>
        <v/>
      </c>
    </row>
    <row r="4" spans="1:13" x14ac:dyDescent="0.25">
      <c r="A4" t="s">
        <v>13</v>
      </c>
      <c r="I4" t="str">
        <f ca="1">_xll.SUBNM("24retail:product","Product Groups",ROW()-1,"Label")</f>
        <v/>
      </c>
      <c r="M4" t="str">
        <f ca="1">_xll.SUBNM("24retail:Spread Methods","Default",ROW()-1,"Caption_Default")</f>
        <v/>
      </c>
    </row>
    <row r="5" spans="1:13" x14ac:dyDescent="0.25">
      <c r="A5" t="s">
        <v>14</v>
      </c>
      <c r="I5" t="str">
        <f ca="1">_xll.SUBNM("24retail:product","Product Groups",ROW()-1,"Label")</f>
        <v/>
      </c>
      <c r="M5" t="str">
        <f ca="1">_xll.SUBNM("24retail:Spread Methods","Default",ROW()-1,"Caption_Default")</f>
        <v/>
      </c>
    </row>
    <row r="6" spans="1:13" x14ac:dyDescent="0.25">
      <c r="A6" t="s">
        <v>15</v>
      </c>
      <c r="I6" t="str">
        <f ca="1">_xll.SUBNM("24retail:product","Product Groups",ROW()-1,"Label")</f>
        <v/>
      </c>
      <c r="M6" t="str">
        <f ca="1">_xll.SUBNM("24retail:Spread Methods","Default",ROW()-1,"Caption_Default")</f>
        <v/>
      </c>
    </row>
    <row r="7" spans="1:13" x14ac:dyDescent="0.25">
      <c r="I7" t="str">
        <f ca="1">_xll.SUBNM("24retail:product","Product Groups",ROW()-1,"Label")</f>
        <v/>
      </c>
      <c r="M7" t="str">
        <f ca="1">_xll.SUBNM("24retail:Spread Methods","Default",ROW()-1,"Caption_Default")</f>
        <v/>
      </c>
    </row>
    <row r="8" spans="1:13" x14ac:dyDescent="0.25">
      <c r="I8" t="str">
        <f ca="1">_xll.SUBNM("24retail:product","Product Groups",ROW()-1,"Label")</f>
        <v/>
      </c>
      <c r="M8" t="str">
        <f ca="1">_xll.SUBNM("24retail:Spread Methods","Default",ROW()-1,"Caption_Default")</f>
        <v/>
      </c>
    </row>
    <row r="9" spans="1:13" x14ac:dyDescent="0.25">
      <c r="I9" t="str">
        <f ca="1">_xll.SUBNM("24retail:product","Product Groups",ROW()-1,"Label")</f>
        <v/>
      </c>
      <c r="M9" t="str">
        <f ca="1">_xll.SUBNM("24retail:Spread Methods","Default",ROW()-1,"Caption_Default")</f>
        <v/>
      </c>
    </row>
    <row r="10" spans="1:13" x14ac:dyDescent="0.25">
      <c r="I10" t="str">
        <f ca="1">_xll.SUBNM("24retail:product","Product Groups",ROW()-1,"Label")</f>
        <v/>
      </c>
      <c r="M10" t="str">
        <f ca="1">_xll.SUBNM("24retail:Spread Methods","Default",ROW()-1,"Caption_Default")</f>
        <v/>
      </c>
    </row>
    <row r="11" spans="1:13" x14ac:dyDescent="0.25">
      <c r="I11" t="str">
        <f ca="1">_xll.SUBNM("24retail:product","Product Groups",ROW()-1,"Label")</f>
        <v/>
      </c>
      <c r="M11" t="str">
        <f ca="1">_xll.SUBNM("24retail:Spread Methods","Default",ROW()-1,"Caption_Default")</f>
        <v/>
      </c>
    </row>
    <row r="12" spans="1:13" x14ac:dyDescent="0.25">
      <c r="M12" t="str">
        <f ca="1">_xll.SUBNM("24retail:Spread Methods","Default",ROW()-1,"Caption_Default")</f>
        <v/>
      </c>
    </row>
    <row r="13" spans="1:13" x14ac:dyDescent="0.25">
      <c r="M13" t="str">
        <f ca="1">_xll.SUBNM("24retail:Spread Methods","Default",ROW()-1,"Caption_Default")</f>
        <v/>
      </c>
    </row>
    <row r="14" spans="1:13" x14ac:dyDescent="0.25">
      <c r="M14" t="str">
        <f ca="1">_xll.SUBNM("24retail:Spread Methods","Default",ROW()-1,"Caption_Default")</f>
        <v/>
      </c>
    </row>
    <row r="15" spans="1:13" x14ac:dyDescent="0.25">
      <c r="M15" t="str">
        <f ca="1">_xll.SUBNM("24retail:Spread Methods","Default",ROW()-1,"Caption_Default")</f>
        <v/>
      </c>
    </row>
    <row r="16" spans="1:13" x14ac:dyDescent="0.25">
      <c r="M16" t="str">
        <f ca="1">_xll.SUBNM("24retail:Spread Methods","Default",ROW()-1,"Caption_Default")</f>
        <v/>
      </c>
    </row>
    <row r="17" spans="9:13" x14ac:dyDescent="0.25">
      <c r="M17" t="str">
        <f ca="1">_xll.SUBNM("24retail:Spread Methods","Default",ROW()-1,"Caption_Default")</f>
        <v/>
      </c>
    </row>
    <row r="18" spans="9:13" x14ac:dyDescent="0.25">
      <c r="I18" t="str">
        <f ca="1">_xll.SUBNM("24retail:product","Product Groups",ROW(),"Label")</f>
        <v/>
      </c>
      <c r="M18" t="str">
        <f ca="1">_xll.SUBNM("24retail:Spread Methods","Default",ROW()-1,"Caption_Default")</f>
        <v/>
      </c>
    </row>
    <row r="19" spans="9:13" x14ac:dyDescent="0.25">
      <c r="M19" t="str">
        <f ca="1">_xll.SUBNM("24retail:Spread Methods","Default",ROW()-1,"Caption_Default")</f>
        <v/>
      </c>
    </row>
    <row r="20" spans="9:13" x14ac:dyDescent="0.25">
      <c r="M20" t="str">
        <f ca="1">_xll.SUBNM("24retail:Spread Methods","Default",ROW()-1,"Caption_Default")</f>
        <v/>
      </c>
    </row>
    <row r="21" spans="9:13" x14ac:dyDescent="0.25">
      <c r="M21" t="str">
        <f ca="1">_xll.SUBNM("24retail:Spread Methods","Default",ROW()-1,"Caption_Default")</f>
        <v/>
      </c>
    </row>
    <row r="22" spans="9:13" x14ac:dyDescent="0.25">
      <c r="M22" t="str">
        <f ca="1">_xll.SUBNM("24retail:Spread Methods","Default",ROW()-1,"Caption_Default")</f>
        <v/>
      </c>
    </row>
    <row r="23" spans="9:13" x14ac:dyDescent="0.25">
      <c r="M23" t="str">
        <f ca="1">_xll.SUBNM("24retail:Spread Methods","Default",ROW()-1,"Caption_Default")</f>
        <v/>
      </c>
    </row>
  </sheetData>
  <phoneticPr fontId="0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0"/>
  <sheetViews>
    <sheetView showGridLines="0" topLeftCell="A2" workbookViewId="0"/>
  </sheetViews>
  <sheetFormatPr defaultRowHeight="15" x14ac:dyDescent="0.25"/>
  <cols>
    <col min="1" max="1" width="1.42578125" customWidth="1"/>
    <col min="2" max="3" width="18.7109375" hidden="1" customWidth="1"/>
    <col min="4" max="4" width="20.140625" customWidth="1"/>
    <col min="5" max="16" width="8" bestFit="1" customWidth="1"/>
  </cols>
  <sheetData>
    <row r="1" spans="1:19" hidden="1" x14ac:dyDescent="0.25">
      <c r="B1" t="s">
        <v>18</v>
      </c>
      <c r="D1" t="str">
        <f ca="1">_xll.VIEW("24retail:Revenue Assumptions",$D$5,"!","!",$F$5,$H$5,"!")</f>
        <v>24retail:Revenue Assumptions</v>
      </c>
    </row>
    <row r="2" spans="1:19" ht="37.5" customHeight="1" thickBot="1" x14ac:dyDescent="0.3">
      <c r="A2" s="45"/>
      <c r="B2" s="11"/>
      <c r="C2" s="11"/>
      <c r="D2" s="50" t="s">
        <v>59</v>
      </c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"/>
      <c r="R2" s="1"/>
      <c r="S2" s="1"/>
    </row>
    <row r="3" spans="1:19" s="72" customFormat="1" ht="9" customHeight="1" x14ac:dyDescent="0.25">
      <c r="A3" s="18"/>
      <c r="B3" s="69"/>
      <c r="C3" s="69"/>
      <c r="D3" s="70"/>
      <c r="E3" s="69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18"/>
      <c r="R3" s="18"/>
      <c r="S3" s="18"/>
    </row>
    <row r="4" spans="1:19" x14ac:dyDescent="0.25">
      <c r="D4" s="122" t="s">
        <v>32</v>
      </c>
      <c r="E4" s="122"/>
      <c r="F4" s="122" t="s">
        <v>1</v>
      </c>
      <c r="G4" s="122"/>
      <c r="H4" s="122" t="s">
        <v>2</v>
      </c>
      <c r="I4" s="122"/>
      <c r="J4" s="8"/>
      <c r="K4" s="8"/>
      <c r="L4" s="8"/>
      <c r="M4" s="8"/>
      <c r="N4" s="8"/>
      <c r="O4" s="8"/>
      <c r="P4" s="8"/>
    </row>
    <row r="5" spans="1:19" x14ac:dyDescent="0.25">
      <c r="D5" s="123" t="str">
        <f ca="1">_xll.SUBNM("24retail:product","All Members","21001","Caption_Default")</f>
        <v/>
      </c>
      <c r="E5" s="123"/>
      <c r="F5" s="123" t="str">
        <f ca="1">_xll.SUBNM("24retail:Year","Default","Y2","Caption_Default")</f>
        <v/>
      </c>
      <c r="G5" s="123"/>
      <c r="H5" s="123" t="str">
        <f ca="1">_xll.SUBNM("24retail:Version","Current",_xll.DBR("24retail:Calendar","Current Version","String"),"Caption_Default")</f>
        <v/>
      </c>
      <c r="I5" s="123"/>
      <c r="J5" s="8"/>
      <c r="K5" s="8"/>
      <c r="L5" s="8"/>
      <c r="M5" s="8"/>
      <c r="N5" s="8"/>
      <c r="O5" s="8"/>
      <c r="P5" s="8"/>
    </row>
    <row r="6" spans="1:19" ht="10.5" customHeight="1" x14ac:dyDescent="0.25"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</row>
    <row r="7" spans="1:19" x14ac:dyDescent="0.25">
      <c r="B7" s="8"/>
      <c r="C7" s="8"/>
      <c r="D7" s="68" t="str">
        <f ca="1">_xll.DBRA("24retail:channel",B8,"caption_default")</f>
        <v/>
      </c>
      <c r="E7" s="52" t="s">
        <v>19</v>
      </c>
      <c r="F7" s="52" t="s">
        <v>20</v>
      </c>
      <c r="G7" s="52" t="s">
        <v>21</v>
      </c>
      <c r="H7" s="52" t="s">
        <v>22</v>
      </c>
      <c r="I7" s="52" t="s">
        <v>23</v>
      </c>
      <c r="J7" s="52" t="s">
        <v>24</v>
      </c>
      <c r="K7" s="52" t="s">
        <v>25</v>
      </c>
      <c r="L7" s="52" t="s">
        <v>26</v>
      </c>
      <c r="M7" s="52" t="s">
        <v>27</v>
      </c>
      <c r="N7" s="52" t="s">
        <v>28</v>
      </c>
      <c r="O7" s="52" t="s">
        <v>29</v>
      </c>
      <c r="P7" s="52" t="s">
        <v>30</v>
      </c>
    </row>
    <row r="8" spans="1:19" x14ac:dyDescent="0.25">
      <c r="B8" s="91" t="s">
        <v>87</v>
      </c>
      <c r="C8" s="74" t="s">
        <v>58</v>
      </c>
      <c r="D8" s="87" t="str">
        <f ca="1">_xll.DBRA("24retail:RevenueAsmpt",$C8,"Caption_Default")</f>
        <v/>
      </c>
      <c r="E8" s="75" t="str">
        <f ca="1">_xll.DBRW($D$1,$D$5,$B$8,E$7,$F$5,$H$5,$D8)</f>
        <v/>
      </c>
      <c r="F8" s="75" t="str">
        <f ca="1">_xll.DBRW($D$1,$D$5,$B$8,F$7,$F$5,$H$5,$D8)</f>
        <v/>
      </c>
      <c r="G8" s="75" t="str">
        <f ca="1">_xll.DBRW($D$1,$D$5,$B$8,G$7,$F$5,$H$5,$D8)</f>
        <v/>
      </c>
      <c r="H8" s="75" t="str">
        <f ca="1">_xll.DBRW($D$1,$D$5,$B$8,H$7,$F$5,$H$5,$D8)</f>
        <v/>
      </c>
      <c r="I8" s="75" t="str">
        <f ca="1">_xll.DBRW($D$1,$D$5,$B$8,I$7,$F$5,$H$5,$D8)</f>
        <v/>
      </c>
      <c r="J8" s="75" t="str">
        <f ca="1">_xll.DBRW($D$1,$D$5,$B$8,J$7,$F$5,$H$5,$D8)</f>
        <v/>
      </c>
      <c r="K8" s="75" t="str">
        <f ca="1">_xll.DBRW($D$1,$D$5,$B$8,K$7,$F$5,$H$5,$D8)</f>
        <v/>
      </c>
      <c r="L8" s="75" t="str">
        <f ca="1">_xll.DBRW($D$1,$D$5,$B$8,L$7,$F$5,$H$5,$D8)</f>
        <v/>
      </c>
      <c r="M8" s="75" t="str">
        <f ca="1">_xll.DBRW($D$1,$D$5,$B$8,M$7,$F$5,$H$5,$D8)</f>
        <v/>
      </c>
      <c r="N8" s="75" t="str">
        <f ca="1">_xll.DBRW($D$1,$D$5,$B$8,N$7,$F$5,$H$5,$D8)</f>
        <v/>
      </c>
      <c r="O8" s="75" t="str">
        <f ca="1">_xll.DBRW($D$1,$D$5,$B$8,O$7,$F$5,$H$5,$D8)</f>
        <v/>
      </c>
      <c r="P8" s="75" t="str">
        <f ca="1">_xll.DBRW($D$1,$D$5,$B$8,P$7,$F$5,$H$5,$D8)</f>
        <v/>
      </c>
    </row>
    <row r="9" spans="1:19" x14ac:dyDescent="0.25">
      <c r="B9" s="91" t="s">
        <v>87</v>
      </c>
      <c r="C9" s="74" t="s">
        <v>52</v>
      </c>
      <c r="D9" s="87" t="str">
        <f ca="1">_xll.DBRA("24retail:RevenueAsmpt",$C9,"Caption_Default")</f>
        <v/>
      </c>
      <c r="E9" s="76" t="str">
        <f ca="1">_xll.DBRW($D$1,$D$5,$B$8,E$7,$F$5,$H$5,$D9)</f>
        <v/>
      </c>
      <c r="F9" s="76" t="str">
        <f ca="1">_xll.DBRW($D$1,$D$5,$B$8,F$7,$F$5,$H$5,$D9)</f>
        <v/>
      </c>
      <c r="G9" s="76" t="str">
        <f ca="1">_xll.DBRW($D$1,$D$5,$B$8,G$7,$F$5,$H$5,$D9)</f>
        <v/>
      </c>
      <c r="H9" s="76" t="str">
        <f ca="1">_xll.DBRW($D$1,$D$5,$B$8,H$7,$F$5,$H$5,$D9)</f>
        <v/>
      </c>
      <c r="I9" s="76" t="str">
        <f ca="1">_xll.DBRW($D$1,$D$5,$B$8,I$7,$F$5,$H$5,$D9)</f>
        <v/>
      </c>
      <c r="J9" s="76" t="str">
        <f ca="1">_xll.DBRW($D$1,$D$5,$B$8,J$7,$F$5,$H$5,$D9)</f>
        <v/>
      </c>
      <c r="K9" s="76" t="str">
        <f ca="1">_xll.DBRW($D$1,$D$5,$B$8,K$7,$F$5,$H$5,$D9)</f>
        <v/>
      </c>
      <c r="L9" s="76" t="str">
        <f ca="1">_xll.DBRW($D$1,$D$5,$B$8,L$7,$F$5,$H$5,$D9)</f>
        <v/>
      </c>
      <c r="M9" s="76" t="str">
        <f ca="1">_xll.DBRW($D$1,$D$5,$B$8,M$7,$F$5,$H$5,$D9)</f>
        <v/>
      </c>
      <c r="N9" s="76" t="str">
        <f ca="1">_xll.DBRW($D$1,$D$5,$B$8,N$7,$F$5,$H$5,$D9)</f>
        <v/>
      </c>
      <c r="O9" s="76" t="str">
        <f ca="1">_xll.DBRW($D$1,$D$5,$B$8,O$7,$F$5,$H$5,$D9)</f>
        <v/>
      </c>
      <c r="P9" s="76" t="str">
        <f ca="1">_xll.DBRW($D$1,$D$5,$B$8,P$7,$F$5,$H$5,$D9)</f>
        <v/>
      </c>
    </row>
    <row r="10" spans="1:19" x14ac:dyDescent="0.25">
      <c r="B10" s="91" t="s">
        <v>87</v>
      </c>
      <c r="C10" s="74" t="s">
        <v>53</v>
      </c>
      <c r="D10" s="87" t="str">
        <f ca="1">_xll.DBRA("24retail:RevenueAsmpt",$C10,"Caption_Default")</f>
        <v/>
      </c>
      <c r="E10" s="76" t="str">
        <f ca="1">_xll.DBRW($D$1,$D$5,$B$8,E$7,$F$5,$H$5,$D10)</f>
        <v/>
      </c>
      <c r="F10" s="76" t="str">
        <f ca="1">_xll.DBRW($D$1,$D$5,$B$8,F$7,$F$5,$H$5,$D10)</f>
        <v/>
      </c>
      <c r="G10" s="76" t="str">
        <f ca="1">_xll.DBRW($D$1,$D$5,$B$8,G$7,$F$5,$H$5,$D10)</f>
        <v/>
      </c>
      <c r="H10" s="76" t="str">
        <f ca="1">_xll.DBRW($D$1,$D$5,$B$8,H$7,$F$5,$H$5,$D10)</f>
        <v/>
      </c>
      <c r="I10" s="76" t="str">
        <f ca="1">_xll.DBRW($D$1,$D$5,$B$8,I$7,$F$5,$H$5,$D10)</f>
        <v/>
      </c>
      <c r="J10" s="76" t="str">
        <f ca="1">_xll.DBRW($D$1,$D$5,$B$8,J$7,$F$5,$H$5,$D10)</f>
        <v/>
      </c>
      <c r="K10" s="76" t="str">
        <f ca="1">_xll.DBRW($D$1,$D$5,$B$8,K$7,$F$5,$H$5,$D10)</f>
        <v/>
      </c>
      <c r="L10" s="76" t="str">
        <f ca="1">_xll.DBRW($D$1,$D$5,$B$8,L$7,$F$5,$H$5,$D10)</f>
        <v/>
      </c>
      <c r="M10" s="76" t="str">
        <f ca="1">_xll.DBRW($D$1,$D$5,$B$8,M$7,$F$5,$H$5,$D10)</f>
        <v/>
      </c>
      <c r="N10" s="76" t="str">
        <f ca="1">_xll.DBRW($D$1,$D$5,$B$8,N$7,$F$5,$H$5,$D10)</f>
        <v/>
      </c>
      <c r="O10" s="76" t="str">
        <f ca="1">_xll.DBRW($D$1,$D$5,$B$8,O$7,$F$5,$H$5,$D10)</f>
        <v/>
      </c>
      <c r="P10" s="76" t="str">
        <f ca="1">_xll.DBRW($D$1,$D$5,$B$8,P$7,$F$5,$H$5,$D10)</f>
        <v/>
      </c>
    </row>
    <row r="11" spans="1:19" x14ac:dyDescent="0.25">
      <c r="B11" s="66"/>
      <c r="C11" s="66"/>
      <c r="D11" s="66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</row>
    <row r="12" spans="1:19" x14ac:dyDescent="0.25">
      <c r="B12" s="66"/>
      <c r="C12" s="66"/>
      <c r="D12" s="68" t="str">
        <f ca="1">_xll.DBRA("24retail:channel",B13,"caption_default")</f>
        <v/>
      </c>
      <c r="E12" s="52" t="s">
        <v>19</v>
      </c>
      <c r="F12" s="52" t="s">
        <v>20</v>
      </c>
      <c r="G12" s="52" t="s">
        <v>21</v>
      </c>
      <c r="H12" s="52" t="s">
        <v>22</v>
      </c>
      <c r="I12" s="52" t="s">
        <v>23</v>
      </c>
      <c r="J12" s="52" t="s">
        <v>24</v>
      </c>
      <c r="K12" s="52" t="s">
        <v>25</v>
      </c>
      <c r="L12" s="52" t="s">
        <v>26</v>
      </c>
      <c r="M12" s="52" t="s">
        <v>27</v>
      </c>
      <c r="N12" s="52" t="s">
        <v>28</v>
      </c>
      <c r="O12" s="52" t="s">
        <v>29</v>
      </c>
      <c r="P12" s="52" t="s">
        <v>30</v>
      </c>
    </row>
    <row r="13" spans="1:19" x14ac:dyDescent="0.25">
      <c r="B13" s="91" t="s">
        <v>88</v>
      </c>
      <c r="C13" s="74" t="s">
        <v>58</v>
      </c>
      <c r="D13" s="87" t="str">
        <f ca="1">_xll.DBRA("24retail:RevenueAsmpt",$C13,"Caption_Default")</f>
        <v/>
      </c>
      <c r="E13" s="75" t="str">
        <f ca="1">_xll.DBRW($D$1,$D$5,$B$13,E$7,$F$5,$H$5,$D13)</f>
        <v/>
      </c>
      <c r="F13" s="75" t="str">
        <f ca="1">_xll.DBRW($D$1,$D$5,$B$13,F$7,$F$5,$H$5,$D13)</f>
        <v/>
      </c>
      <c r="G13" s="75" t="str">
        <f ca="1">_xll.DBRW($D$1,$D$5,$B$13,G$7,$F$5,$H$5,$D13)</f>
        <v/>
      </c>
      <c r="H13" s="75" t="str">
        <f ca="1">_xll.DBRW($D$1,$D$5,$B$13,H$7,$F$5,$H$5,$D13)</f>
        <v/>
      </c>
      <c r="I13" s="75" t="str">
        <f ca="1">_xll.DBRW($D$1,$D$5,$B$13,I$7,$F$5,$H$5,$D13)</f>
        <v/>
      </c>
      <c r="J13" s="75" t="str">
        <f ca="1">_xll.DBRW($D$1,$D$5,$B$13,J$7,$F$5,$H$5,$D13)</f>
        <v/>
      </c>
      <c r="K13" s="75" t="str">
        <f ca="1">_xll.DBRW($D$1,$D$5,$B$13,K$7,$F$5,$H$5,$D13)</f>
        <v/>
      </c>
      <c r="L13" s="75" t="str">
        <f ca="1">_xll.DBRW($D$1,$D$5,$B$13,L$7,$F$5,$H$5,$D13)</f>
        <v/>
      </c>
      <c r="M13" s="75" t="str">
        <f ca="1">_xll.DBRW($D$1,$D$5,$B$13,M$7,$F$5,$H$5,$D13)</f>
        <v/>
      </c>
      <c r="N13" s="75" t="str">
        <f ca="1">_xll.DBRW($D$1,$D$5,$B$13,N$7,$F$5,$H$5,$D13)</f>
        <v/>
      </c>
      <c r="O13" s="75" t="str">
        <f ca="1">_xll.DBRW($D$1,$D$5,$B$13,O$7,$F$5,$H$5,$D13)</f>
        <v/>
      </c>
      <c r="P13" s="75" t="str">
        <f ca="1">_xll.DBRW($D$1,$D$5,$B$13,P$7,$F$5,$H$5,$D13)</f>
        <v/>
      </c>
    </row>
    <row r="14" spans="1:19" x14ac:dyDescent="0.25">
      <c r="B14" s="91" t="s">
        <v>88</v>
      </c>
      <c r="C14" s="74" t="s">
        <v>52</v>
      </c>
      <c r="D14" s="87" t="str">
        <f ca="1">_xll.DBRA("24retail:RevenueAsmpt",$C14,"Caption_Default")</f>
        <v/>
      </c>
      <c r="E14" s="76" t="str">
        <f ca="1">_xll.DBRW($D$1,$D$5,$B$13,E$7,$F$5,$H$5,$D14)</f>
        <v/>
      </c>
      <c r="F14" s="76" t="str">
        <f ca="1">_xll.DBRW($D$1,$D$5,$B$13,F$7,$F$5,$H$5,$D14)</f>
        <v/>
      </c>
      <c r="G14" s="76" t="str">
        <f ca="1">_xll.DBRW($D$1,$D$5,$B$13,G$7,$F$5,$H$5,$D14)</f>
        <v/>
      </c>
      <c r="H14" s="76" t="str">
        <f ca="1">_xll.DBRW($D$1,$D$5,$B$13,H$7,$F$5,$H$5,$D14)</f>
        <v/>
      </c>
      <c r="I14" s="76" t="str">
        <f ca="1">_xll.DBRW($D$1,$D$5,$B$13,I$7,$F$5,$H$5,$D14)</f>
        <v/>
      </c>
      <c r="J14" s="76" t="str">
        <f ca="1">_xll.DBRW($D$1,$D$5,$B$13,J$7,$F$5,$H$5,$D14)</f>
        <v/>
      </c>
      <c r="K14" s="76" t="str">
        <f ca="1">_xll.DBRW($D$1,$D$5,$B$13,K$7,$F$5,$H$5,$D14)</f>
        <v/>
      </c>
      <c r="L14" s="76" t="str">
        <f ca="1">_xll.DBRW($D$1,$D$5,$B$13,L$7,$F$5,$H$5,$D14)</f>
        <v/>
      </c>
      <c r="M14" s="76" t="str">
        <f ca="1">_xll.DBRW($D$1,$D$5,$B$13,M$7,$F$5,$H$5,$D14)</f>
        <v/>
      </c>
      <c r="N14" s="76" t="str">
        <f ca="1">_xll.DBRW($D$1,$D$5,$B$13,N$7,$F$5,$H$5,$D14)</f>
        <v/>
      </c>
      <c r="O14" s="76" t="str">
        <f ca="1">_xll.DBRW($D$1,$D$5,$B$13,O$7,$F$5,$H$5,$D14)</f>
        <v/>
      </c>
      <c r="P14" s="76" t="str">
        <f ca="1">_xll.DBRW($D$1,$D$5,$B$13,P$7,$F$5,$H$5,$D14)</f>
        <v/>
      </c>
    </row>
    <row r="15" spans="1:19" x14ac:dyDescent="0.25">
      <c r="B15" s="91" t="s">
        <v>88</v>
      </c>
      <c r="C15" s="74" t="s">
        <v>53</v>
      </c>
      <c r="D15" s="87" t="str">
        <f ca="1">_xll.DBRA("24retail:RevenueAsmpt",$C15,"Caption_Default")</f>
        <v/>
      </c>
      <c r="E15" s="76" t="str">
        <f ca="1">_xll.DBRW($D$1,$D$5,$B$13,E$7,$F$5,$H$5,$D15)</f>
        <v/>
      </c>
      <c r="F15" s="76" t="str">
        <f ca="1">_xll.DBRW($D$1,$D$5,$B$13,F$7,$F$5,$H$5,$D15)</f>
        <v/>
      </c>
      <c r="G15" s="76" t="str">
        <f ca="1">_xll.DBRW($D$1,$D$5,$B$13,G$7,$F$5,$H$5,$D15)</f>
        <v/>
      </c>
      <c r="H15" s="76" t="str">
        <f ca="1">_xll.DBRW($D$1,$D$5,$B$13,H$7,$F$5,$H$5,$D15)</f>
        <v/>
      </c>
      <c r="I15" s="76" t="str">
        <f ca="1">_xll.DBRW($D$1,$D$5,$B$13,I$7,$F$5,$H$5,$D15)</f>
        <v/>
      </c>
      <c r="J15" s="76" t="str">
        <f ca="1">_xll.DBRW($D$1,$D$5,$B$13,J$7,$F$5,$H$5,$D15)</f>
        <v/>
      </c>
      <c r="K15" s="76" t="str">
        <f ca="1">_xll.DBRW($D$1,$D$5,$B$13,K$7,$F$5,$H$5,$D15)</f>
        <v/>
      </c>
      <c r="L15" s="76" t="str">
        <f ca="1">_xll.DBRW($D$1,$D$5,$B$13,L$7,$F$5,$H$5,$D15)</f>
        <v/>
      </c>
      <c r="M15" s="76" t="str">
        <f ca="1">_xll.DBRW($D$1,$D$5,$B$13,M$7,$F$5,$H$5,$D15)</f>
        <v/>
      </c>
      <c r="N15" s="76" t="str">
        <f ca="1">_xll.DBRW($D$1,$D$5,$B$13,N$7,$F$5,$H$5,$D15)</f>
        <v/>
      </c>
      <c r="O15" s="76" t="str">
        <f ca="1">_xll.DBRW($D$1,$D$5,$B$13,O$7,$F$5,$H$5,$D15)</f>
        <v/>
      </c>
      <c r="P15" s="76" t="str">
        <f ca="1">_xll.DBRW($D$1,$D$5,$B$13,P$7,$F$5,$H$5,$D15)</f>
        <v/>
      </c>
    </row>
    <row r="16" spans="1:19" x14ac:dyDescent="0.25">
      <c r="B16" s="66"/>
      <c r="C16" s="66"/>
      <c r="D16" s="66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</row>
    <row r="17" spans="2:16" x14ac:dyDescent="0.25">
      <c r="B17" s="66"/>
      <c r="C17" s="66"/>
      <c r="D17" s="68" t="str">
        <f ca="1">_xll.DBRA("24retail:channel",B18,"caption_default")</f>
        <v/>
      </c>
      <c r="E17" s="52" t="s">
        <v>19</v>
      </c>
      <c r="F17" s="52" t="s">
        <v>20</v>
      </c>
      <c r="G17" s="52" t="s">
        <v>21</v>
      </c>
      <c r="H17" s="52" t="s">
        <v>22</v>
      </c>
      <c r="I17" s="52" t="s">
        <v>23</v>
      </c>
      <c r="J17" s="52" t="s">
        <v>24</v>
      </c>
      <c r="K17" s="52" t="s">
        <v>25</v>
      </c>
      <c r="L17" s="52" t="s">
        <v>26</v>
      </c>
      <c r="M17" s="52" t="s">
        <v>27</v>
      </c>
      <c r="N17" s="52" t="s">
        <v>28</v>
      </c>
      <c r="O17" s="52" t="s">
        <v>29</v>
      </c>
      <c r="P17" s="52" t="s">
        <v>30</v>
      </c>
    </row>
    <row r="18" spans="2:16" x14ac:dyDescent="0.25">
      <c r="B18" s="91" t="s">
        <v>89</v>
      </c>
      <c r="C18" s="74" t="s">
        <v>58</v>
      </c>
      <c r="D18" s="87" t="str">
        <f ca="1">_xll.DBRA("24retail:RevenueAsmpt",$C18,"Caption_Default")</f>
        <v/>
      </c>
      <c r="E18" s="75" t="str">
        <f ca="1">_xll.DBRW($D$1,$D$5,$B$18,E$7,$F$5,$H$5,$D18)</f>
        <v/>
      </c>
      <c r="F18" s="75" t="str">
        <f ca="1">_xll.DBRW($D$1,$D$5,$B$18,F$7,$F$5,$H$5,$D18)</f>
        <v/>
      </c>
      <c r="G18" s="75" t="str">
        <f ca="1">_xll.DBRW($D$1,$D$5,$B$18,G$7,$F$5,$H$5,$D18)</f>
        <v/>
      </c>
      <c r="H18" s="75" t="str">
        <f ca="1">_xll.DBRW($D$1,$D$5,$B$18,H$7,$F$5,$H$5,$D18)</f>
        <v/>
      </c>
      <c r="I18" s="75" t="str">
        <f ca="1">_xll.DBRW($D$1,$D$5,$B$18,I$7,$F$5,$H$5,$D18)</f>
        <v/>
      </c>
      <c r="J18" s="75" t="str">
        <f ca="1">_xll.DBRW($D$1,$D$5,$B$18,J$7,$F$5,$H$5,$D18)</f>
        <v/>
      </c>
      <c r="K18" s="75" t="str">
        <f ca="1">_xll.DBRW($D$1,$D$5,$B$18,K$7,$F$5,$H$5,$D18)</f>
        <v/>
      </c>
      <c r="L18" s="75" t="str">
        <f ca="1">_xll.DBRW($D$1,$D$5,$B$18,L$7,$F$5,$H$5,$D18)</f>
        <v/>
      </c>
      <c r="M18" s="75" t="str">
        <f ca="1">_xll.DBRW($D$1,$D$5,$B$18,M$7,$F$5,$H$5,$D18)</f>
        <v/>
      </c>
      <c r="N18" s="75" t="str">
        <f ca="1">_xll.DBRW($D$1,$D$5,$B$18,N$7,$F$5,$H$5,$D18)</f>
        <v/>
      </c>
      <c r="O18" s="75" t="str">
        <f ca="1">_xll.DBRW($D$1,$D$5,$B$18,O$7,$F$5,$H$5,$D18)</f>
        <v/>
      </c>
      <c r="P18" s="75" t="str">
        <f ca="1">_xll.DBRW($D$1,$D$5,$B$18,P$7,$F$5,$H$5,$D18)</f>
        <v/>
      </c>
    </row>
    <row r="19" spans="2:16" x14ac:dyDescent="0.25">
      <c r="B19" s="91" t="s">
        <v>89</v>
      </c>
      <c r="C19" s="74" t="s">
        <v>52</v>
      </c>
      <c r="D19" s="87" t="str">
        <f ca="1">_xll.DBRA("24retail:RevenueAsmpt",$C19,"Caption_Default")</f>
        <v/>
      </c>
      <c r="E19" s="76" t="str">
        <f ca="1">_xll.DBRW($D$1,$D$5,$B$18,E$7,$F$5,$H$5,$D19)</f>
        <v/>
      </c>
      <c r="F19" s="76" t="str">
        <f ca="1">_xll.DBRW($D$1,$D$5,$B$18,F$7,$F$5,$H$5,$D19)</f>
        <v/>
      </c>
      <c r="G19" s="76" t="str">
        <f ca="1">_xll.DBRW($D$1,$D$5,$B$18,G$7,$F$5,$H$5,$D19)</f>
        <v/>
      </c>
      <c r="H19" s="76" t="str">
        <f ca="1">_xll.DBRW($D$1,$D$5,$B$18,H$7,$F$5,$H$5,$D19)</f>
        <v/>
      </c>
      <c r="I19" s="76" t="str">
        <f ca="1">_xll.DBRW($D$1,$D$5,$B$18,I$7,$F$5,$H$5,$D19)</f>
        <v/>
      </c>
      <c r="J19" s="76" t="str">
        <f ca="1">_xll.DBRW($D$1,$D$5,$B$18,J$7,$F$5,$H$5,$D19)</f>
        <v/>
      </c>
      <c r="K19" s="76" t="str">
        <f ca="1">_xll.DBRW($D$1,$D$5,$B$18,K$7,$F$5,$H$5,$D19)</f>
        <v/>
      </c>
      <c r="L19" s="76" t="str">
        <f ca="1">_xll.DBRW($D$1,$D$5,$B$18,L$7,$F$5,$H$5,$D19)</f>
        <v/>
      </c>
      <c r="M19" s="76" t="str">
        <f ca="1">_xll.DBRW($D$1,$D$5,$B$18,M$7,$F$5,$H$5,$D19)</f>
        <v/>
      </c>
      <c r="N19" s="76" t="str">
        <f ca="1">_xll.DBRW($D$1,$D$5,$B$18,N$7,$F$5,$H$5,$D19)</f>
        <v/>
      </c>
      <c r="O19" s="76" t="str">
        <f ca="1">_xll.DBRW($D$1,$D$5,$B$18,O$7,$F$5,$H$5,$D19)</f>
        <v/>
      </c>
      <c r="P19" s="76" t="str">
        <f ca="1">_xll.DBRW($D$1,$D$5,$B$18,P$7,$F$5,$H$5,$D19)</f>
        <v/>
      </c>
    </row>
    <row r="20" spans="2:16" x14ac:dyDescent="0.25">
      <c r="B20" s="91" t="s">
        <v>89</v>
      </c>
      <c r="C20" s="74" t="s">
        <v>53</v>
      </c>
      <c r="D20" s="87" t="str">
        <f ca="1">_xll.DBRA("24retail:RevenueAsmpt",$C20,"Caption_Default")</f>
        <v/>
      </c>
      <c r="E20" s="76" t="str">
        <f ca="1">_xll.DBRW($D$1,$D$5,$B$18,E$7,$F$5,$H$5,$D20)</f>
        <v/>
      </c>
      <c r="F20" s="76" t="str">
        <f ca="1">_xll.DBRW($D$1,$D$5,$B$18,F$7,$F$5,$H$5,$D20)</f>
        <v/>
      </c>
      <c r="G20" s="76" t="str">
        <f ca="1">_xll.DBRW($D$1,$D$5,$B$18,G$7,$F$5,$H$5,$D20)</f>
        <v/>
      </c>
      <c r="H20" s="76" t="str">
        <f ca="1">_xll.DBRW($D$1,$D$5,$B$18,H$7,$F$5,$H$5,$D20)</f>
        <v/>
      </c>
      <c r="I20" s="76" t="str">
        <f ca="1">_xll.DBRW($D$1,$D$5,$B$18,I$7,$F$5,$H$5,$D20)</f>
        <v/>
      </c>
      <c r="J20" s="76" t="str">
        <f ca="1">_xll.DBRW($D$1,$D$5,$B$18,J$7,$F$5,$H$5,$D20)</f>
        <v/>
      </c>
      <c r="K20" s="76" t="str">
        <f ca="1">_xll.DBRW($D$1,$D$5,$B$18,K$7,$F$5,$H$5,$D20)</f>
        <v/>
      </c>
      <c r="L20" s="76" t="str">
        <f ca="1">_xll.DBRW($D$1,$D$5,$B$18,L$7,$F$5,$H$5,$D20)</f>
        <v/>
      </c>
      <c r="M20" s="76" t="str">
        <f ca="1">_xll.DBRW($D$1,$D$5,$B$18,M$7,$F$5,$H$5,$D20)</f>
        <v/>
      </c>
      <c r="N20" s="76" t="str">
        <f ca="1">_xll.DBRW($D$1,$D$5,$B$18,N$7,$F$5,$H$5,$D20)</f>
        <v/>
      </c>
      <c r="O20" s="76" t="str">
        <f ca="1">_xll.DBRW($D$1,$D$5,$B$18,O$7,$F$5,$H$5,$D20)</f>
        <v/>
      </c>
      <c r="P20" s="76" t="str">
        <f ca="1">_xll.DBRW($D$1,$D$5,$B$18,P$7,$F$5,$H$5,$D20)</f>
        <v/>
      </c>
    </row>
  </sheetData>
  <mergeCells count="6">
    <mergeCell ref="H4:I4"/>
    <mergeCell ref="H5:I5"/>
    <mergeCell ref="D4:E4"/>
    <mergeCell ref="D5:E5"/>
    <mergeCell ref="F4:G4"/>
    <mergeCell ref="F5:G5"/>
  </mergeCells>
  <phoneticPr fontId="10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"/>
  <sheetViews>
    <sheetView showGridLines="0" topLeftCell="A2" workbookViewId="0"/>
  </sheetViews>
  <sheetFormatPr defaultRowHeight="15" x14ac:dyDescent="0.25"/>
  <cols>
    <col min="1" max="1" width="1.28515625" customWidth="1"/>
    <col min="2" max="2" width="11.28515625" hidden="1" customWidth="1"/>
    <col min="3" max="3" width="29.140625" bestFit="1" customWidth="1"/>
    <col min="4" max="7" width="17.5703125" customWidth="1"/>
    <col min="8" max="8" width="16.5703125" customWidth="1"/>
  </cols>
  <sheetData>
    <row r="1" spans="1:11" hidden="1" x14ac:dyDescent="0.25">
      <c r="C1" t="s">
        <v>18</v>
      </c>
      <c r="D1" t="str">
        <f ca="1">_xll.VIEW("24retail:Revenue",$C$5,$D$5,"!","!",$F$5,$G$5,$E$5)</f>
        <v>24retail:Revenue</v>
      </c>
    </row>
    <row r="2" spans="1:11" ht="37.5" customHeight="1" thickBot="1" x14ac:dyDescent="0.3">
      <c r="A2" s="45"/>
      <c r="B2" s="82"/>
      <c r="C2" s="50" t="s">
        <v>48</v>
      </c>
      <c r="D2" s="11"/>
      <c r="E2" s="12"/>
      <c r="F2" s="12"/>
      <c r="G2" s="12"/>
      <c r="H2" s="12"/>
      <c r="I2" s="1"/>
      <c r="J2" s="1"/>
      <c r="K2" s="1"/>
    </row>
    <row r="3" spans="1:11" ht="9" customHeight="1" x14ac:dyDescent="0.25"/>
    <row r="4" spans="1:11" x14ac:dyDescent="0.25">
      <c r="C4" s="17" t="s">
        <v>7</v>
      </c>
      <c r="D4" s="19" t="s">
        <v>0</v>
      </c>
      <c r="E4" s="19" t="s">
        <v>34</v>
      </c>
      <c r="F4" s="19" t="s">
        <v>1</v>
      </c>
      <c r="G4" s="19" t="s">
        <v>2</v>
      </c>
    </row>
    <row r="5" spans="1:11" x14ac:dyDescent="0.25">
      <c r="C5" s="49" t="str">
        <f ca="1">_xll.SUBNM("24retail:organization","Workflow","101","Caption_Default")</f>
        <v/>
      </c>
      <c r="D5" s="49" t="str">
        <f ca="1">_xll.SUBNM("24retail:Channel","Default","Channel Total","Caption_Default")</f>
        <v/>
      </c>
      <c r="E5" s="49" t="str">
        <f ca="1">_xll.SUBNM("24retail:Revenue","Default","Gross Revenue","Caption_Default")</f>
        <v/>
      </c>
      <c r="F5" s="49" t="str">
        <f ca="1">_xll.SUBNM("24retail:Year","Default","Y2","Caption_Default")</f>
        <v/>
      </c>
      <c r="G5" s="49" t="str">
        <f ca="1">_xll.SUBNM("24retail:Version","Current",_xll.DBR("24retail:Calendar","Current Version","String"),"Caption_Default")</f>
        <v/>
      </c>
    </row>
    <row r="6" spans="1:11" ht="10.5" customHeight="1" x14ac:dyDescent="0.25"/>
    <row r="7" spans="1:11" x14ac:dyDescent="0.25">
      <c r="C7" s="4"/>
      <c r="D7" s="19" t="s">
        <v>61</v>
      </c>
      <c r="E7" s="19" t="s">
        <v>62</v>
      </c>
      <c r="F7" s="19" t="s">
        <v>63</v>
      </c>
      <c r="G7" s="19" t="s">
        <v>64</v>
      </c>
      <c r="H7" s="19" t="s">
        <v>1</v>
      </c>
    </row>
    <row r="8" spans="1:11" x14ac:dyDescent="0.25">
      <c r="B8" t="s">
        <v>60</v>
      </c>
      <c r="C8" s="22" t="str">
        <f ca="1">_xll.DBRA("24retail:product",$B8,"Caption_Default")</f>
        <v/>
      </c>
      <c r="D8" s="81" t="str">
        <f ca="1">_xll.DBRW($D$1,$C$5,$D$5,$C8,D$7,$F$5,$G$5,$E$5)</f>
        <v/>
      </c>
      <c r="E8" s="81" t="str">
        <f ca="1">_xll.DBRW($D$1,$C$5,$D$5,$C8,E$7,$F$5,$G$5,$E$5)</f>
        <v/>
      </c>
      <c r="F8" s="81" t="str">
        <f ca="1">_xll.DBRW($D$1,$C$5,$D$5,$C8,F$7,$F$5,$G$5,$E$5)</f>
        <v/>
      </c>
      <c r="G8" s="81" t="str">
        <f ca="1">_xll.DBRW($D$1,$C$5,$D$5,$C8,G$7,$F$5,$G$5,$E$5)</f>
        <v/>
      </c>
      <c r="H8" s="44" t="str">
        <f ca="1">_xll.DBRW($D$1,$C$5,$D$5,$C8,H$7,$F$5,$G$5,$E$5)</f>
        <v/>
      </c>
    </row>
    <row r="9" spans="1:11" x14ac:dyDescent="0.25">
      <c r="B9" s="83" t="s">
        <v>65</v>
      </c>
      <c r="C9" s="85" t="str">
        <f ca="1">_xll.DBRA("24retail:product",$B9,"Caption_Default")</f>
        <v/>
      </c>
      <c r="D9" s="81" t="str">
        <f ca="1">_xll.DBRW($D$1,$C$5,$D$5,$C9,D$7,$F$5,$G$5,$E$5)</f>
        <v/>
      </c>
      <c r="E9" s="81" t="str">
        <f ca="1">_xll.DBRW($D$1,$C$5,$D$5,$C9,E$7,$F$5,$G$5,$E$5)</f>
        <v/>
      </c>
      <c r="F9" s="81" t="str">
        <f ca="1">_xll.DBRW($D$1,$C$5,$D$5,$C9,F$7,$F$5,$G$5,$E$5)</f>
        <v/>
      </c>
      <c r="G9" s="81" t="str">
        <f ca="1">_xll.DBRW($D$1,$C$5,$D$5,$C9,G$7,$F$5,$G$5,$E$5)</f>
        <v/>
      </c>
      <c r="H9" s="44" t="str">
        <f ca="1">_xll.DBRW($D$1,$C$5,$D$5,$C9,H$7,$F$5,$G$5,$E$5)</f>
        <v/>
      </c>
    </row>
    <row r="10" spans="1:11" x14ac:dyDescent="0.25">
      <c r="B10" s="83" t="s">
        <v>66</v>
      </c>
      <c r="C10" s="84" t="str">
        <f ca="1">_xll.DBRA("24retail:product",$B10,"Caption_Default")</f>
        <v/>
      </c>
      <c r="D10" s="81" t="str">
        <f ca="1">_xll.DBRW($D$1,$C$5,$D$5,$C10,D$7,$F$5,$G$5,$E$5)</f>
        <v/>
      </c>
      <c r="E10" s="81" t="str">
        <f ca="1">_xll.DBRW($D$1,$C$5,$D$5,$C10,E$7,$F$5,$G$5,$E$5)</f>
        <v/>
      </c>
      <c r="F10" s="81" t="str">
        <f ca="1">_xll.DBRW($D$1,$C$5,$D$5,$C10,F$7,$F$5,$G$5,$E$5)</f>
        <v/>
      </c>
      <c r="G10" s="81" t="str">
        <f ca="1">_xll.DBRW($D$1,$C$5,$D$5,$C10,G$7,$F$5,$G$5,$E$5)</f>
        <v/>
      </c>
      <c r="H10" s="44" t="str">
        <f ca="1">_xll.DBRW($D$1,$C$5,$D$5,$C10,H$7,$F$5,$G$5,$E$5)</f>
        <v/>
      </c>
    </row>
    <row r="11" spans="1:11" x14ac:dyDescent="0.25">
      <c r="B11" s="83" t="s">
        <v>67</v>
      </c>
      <c r="C11" s="84" t="str">
        <f ca="1">_xll.DBRA("24retail:product",$B11,"Caption_Default")</f>
        <v/>
      </c>
      <c r="D11" s="81" t="str">
        <f ca="1">_xll.DBRW($D$1,$C$5,$D$5,$C11,D$7,$F$5,$G$5,$E$5)</f>
        <v/>
      </c>
      <c r="E11" s="81" t="str">
        <f ca="1">_xll.DBRW($D$1,$C$5,$D$5,$C11,E$7,$F$5,$G$5,$E$5)</f>
        <v/>
      </c>
      <c r="F11" s="81" t="str">
        <f ca="1">_xll.DBRW($D$1,$C$5,$D$5,$C11,F$7,$F$5,$G$5,$E$5)</f>
        <v/>
      </c>
      <c r="G11" s="81" t="str">
        <f ca="1">_xll.DBRW($D$1,$C$5,$D$5,$C11,G$7,$F$5,$G$5,$E$5)</f>
        <v/>
      </c>
      <c r="H11" s="44" t="str">
        <f ca="1">_xll.DBRW($D$1,$C$5,$D$5,$C11,H$7,$F$5,$G$5,$E$5)</f>
        <v/>
      </c>
    </row>
    <row r="12" spans="1:11" x14ac:dyDescent="0.25">
      <c r="B12" s="83" t="s">
        <v>68</v>
      </c>
      <c r="C12" s="84" t="str">
        <f ca="1">_xll.DBRA("24retail:product",$B12,"Caption_Default")</f>
        <v/>
      </c>
      <c r="D12" s="81" t="str">
        <f ca="1">_xll.DBRW($D$1,$C$5,$D$5,$C12,D$7,$F$5,$G$5,$E$5)</f>
        <v/>
      </c>
      <c r="E12" s="81" t="str">
        <f ca="1">_xll.DBRW($D$1,$C$5,$D$5,$C12,E$7,$F$5,$G$5,$E$5)</f>
        <v/>
      </c>
      <c r="F12" s="81" t="str">
        <f ca="1">_xll.DBRW($D$1,$C$5,$D$5,$C12,F$7,$F$5,$G$5,$E$5)</f>
        <v/>
      </c>
      <c r="G12" s="81" t="str">
        <f ca="1">_xll.DBRW($D$1,$C$5,$D$5,$C12,G$7,$F$5,$G$5,$E$5)</f>
        <v/>
      </c>
      <c r="H12" s="44" t="str">
        <f ca="1">_xll.DBRW($D$1,$C$5,$D$5,$C12,H$7,$F$5,$G$5,$E$5)</f>
        <v/>
      </c>
    </row>
    <row r="13" spans="1:11" x14ac:dyDescent="0.25">
      <c r="B13" s="83" t="s">
        <v>69</v>
      </c>
      <c r="C13" s="85" t="str">
        <f ca="1">_xll.DBRA("24retail:product",$B13,"Caption_Default")</f>
        <v/>
      </c>
      <c r="D13" s="81" t="str">
        <f ca="1">_xll.DBRW($D$1,$C$5,$D$5,$C13,D$7,$F$5,$G$5,$E$5)</f>
        <v/>
      </c>
      <c r="E13" s="81" t="str">
        <f ca="1">_xll.DBRW($D$1,$C$5,$D$5,$C13,E$7,$F$5,$G$5,$E$5)</f>
        <v/>
      </c>
      <c r="F13" s="81" t="str">
        <f ca="1">_xll.DBRW($D$1,$C$5,$D$5,$C13,F$7,$F$5,$G$5,$E$5)</f>
        <v/>
      </c>
      <c r="G13" s="81" t="str">
        <f ca="1">_xll.DBRW($D$1,$C$5,$D$5,$C13,G$7,$F$5,$G$5,$E$5)</f>
        <v/>
      </c>
      <c r="H13" s="44" t="str">
        <f ca="1">_xll.DBRW($D$1,$C$5,$D$5,$C13,H$7,$F$5,$G$5,$E$5)</f>
        <v/>
      </c>
    </row>
    <row r="14" spans="1:11" x14ac:dyDescent="0.25">
      <c r="B14" s="83" t="s">
        <v>70</v>
      </c>
      <c r="C14" s="84" t="str">
        <f ca="1">_xll.DBRA("24retail:product",$B14,"Caption_Default")</f>
        <v/>
      </c>
      <c r="D14" s="81" t="str">
        <f ca="1">_xll.DBRW($D$1,$C$5,$D$5,$C14,D$7,$F$5,$G$5,$E$5)</f>
        <v/>
      </c>
      <c r="E14" s="81" t="str">
        <f ca="1">_xll.DBRW($D$1,$C$5,$D$5,$C14,E$7,$F$5,$G$5,$E$5)</f>
        <v/>
      </c>
      <c r="F14" s="81" t="str">
        <f ca="1">_xll.DBRW($D$1,$C$5,$D$5,$C14,F$7,$F$5,$G$5,$E$5)</f>
        <v/>
      </c>
      <c r="G14" s="81" t="str">
        <f ca="1">_xll.DBRW($D$1,$C$5,$D$5,$C14,G$7,$F$5,$G$5,$E$5)</f>
        <v/>
      </c>
      <c r="H14" s="44" t="str">
        <f ca="1">_xll.DBRW($D$1,$C$5,$D$5,$C14,H$7,$F$5,$G$5,$E$5)</f>
        <v/>
      </c>
    </row>
    <row r="15" spans="1:11" x14ac:dyDescent="0.25">
      <c r="B15" s="83" t="s">
        <v>71</v>
      </c>
      <c r="C15" s="84" t="str">
        <f ca="1">_xll.DBRA("24retail:product",$B15,"Caption_Default")</f>
        <v/>
      </c>
      <c r="D15" s="81" t="str">
        <f ca="1">_xll.DBRW($D$1,$C$5,$D$5,$C15,D$7,$F$5,$G$5,$E$5)</f>
        <v/>
      </c>
      <c r="E15" s="81" t="str">
        <f ca="1">_xll.DBRW($D$1,$C$5,$D$5,$C15,E$7,$F$5,$G$5,$E$5)</f>
        <v/>
      </c>
      <c r="F15" s="81" t="str">
        <f ca="1">_xll.DBRW($D$1,$C$5,$D$5,$C15,F$7,$F$5,$G$5,$E$5)</f>
        <v/>
      </c>
      <c r="G15" s="81" t="str">
        <f ca="1">_xll.DBRW($D$1,$C$5,$D$5,$C15,G$7,$F$5,$G$5,$E$5)</f>
        <v/>
      </c>
      <c r="H15" s="44" t="str">
        <f ca="1">_xll.DBRW($D$1,$C$5,$D$5,$C15,H$7,$F$5,$G$5,$E$5)</f>
        <v/>
      </c>
    </row>
    <row r="16" spans="1:11" x14ac:dyDescent="0.25">
      <c r="B16" s="83" t="s">
        <v>72</v>
      </c>
      <c r="C16" s="84" t="str">
        <f ca="1">_xll.DBRA("24retail:product",$B16,"Caption_Default")</f>
        <v/>
      </c>
      <c r="D16" s="81" t="str">
        <f ca="1">_xll.DBRW($D$1,$C$5,$D$5,$C16,D$7,$F$5,$G$5,$E$5)</f>
        <v/>
      </c>
      <c r="E16" s="81" t="str">
        <f ca="1">_xll.DBRW($D$1,$C$5,$D$5,$C16,E$7,$F$5,$G$5,$E$5)</f>
        <v/>
      </c>
      <c r="F16" s="81" t="str">
        <f ca="1">_xll.DBRW($D$1,$C$5,$D$5,$C16,F$7,$F$5,$G$5,$E$5)</f>
        <v/>
      </c>
      <c r="G16" s="81" t="str">
        <f ca="1">_xll.DBRW($D$1,$C$5,$D$5,$C16,G$7,$F$5,$G$5,$E$5)</f>
        <v/>
      </c>
      <c r="H16" s="44" t="str">
        <f ca="1">_xll.DBRW($D$1,$C$5,$D$5,$C16,H$7,$F$5,$G$5,$E$5)</f>
        <v/>
      </c>
    </row>
    <row r="17" spans="2:8" x14ac:dyDescent="0.25">
      <c r="B17" s="83" t="s">
        <v>73</v>
      </c>
      <c r="C17" s="85" t="str">
        <f ca="1">_xll.DBRA("24retail:product",$B17,"Caption_Default")</f>
        <v/>
      </c>
      <c r="D17" s="81" t="str">
        <f ca="1">_xll.DBRW($D$1,$C$5,$D$5,$C17,D$7,$F$5,$G$5,$E$5)</f>
        <v/>
      </c>
      <c r="E17" s="81" t="str">
        <f ca="1">_xll.DBRW($D$1,$C$5,$D$5,$C17,E$7,$F$5,$G$5,$E$5)</f>
        <v/>
      </c>
      <c r="F17" s="81" t="str">
        <f ca="1">_xll.DBRW($D$1,$C$5,$D$5,$C17,F$7,$F$5,$G$5,$E$5)</f>
        <v/>
      </c>
      <c r="G17" s="81" t="str">
        <f ca="1">_xll.DBRW($D$1,$C$5,$D$5,$C17,G$7,$F$5,$G$5,$E$5)</f>
        <v/>
      </c>
      <c r="H17" s="44" t="str">
        <f ca="1">_xll.DBRW($D$1,$C$5,$D$5,$C17,H$7,$F$5,$G$5,$E$5)</f>
        <v/>
      </c>
    </row>
    <row r="18" spans="2:8" x14ac:dyDescent="0.25">
      <c r="B18" s="83" t="s">
        <v>74</v>
      </c>
      <c r="C18" s="84" t="str">
        <f ca="1">_xll.DBRA("24retail:product",$B18,"Caption_Default")</f>
        <v/>
      </c>
      <c r="D18" s="81" t="str">
        <f ca="1">_xll.DBRW($D$1,$C$5,$D$5,$C18,D$7,$F$5,$G$5,$E$5)</f>
        <v/>
      </c>
      <c r="E18" s="81" t="str">
        <f ca="1">_xll.DBRW($D$1,$C$5,$D$5,$C18,E$7,$F$5,$G$5,$E$5)</f>
        <v/>
      </c>
      <c r="F18" s="81" t="str">
        <f ca="1">_xll.DBRW($D$1,$C$5,$D$5,$C18,F$7,$F$5,$G$5,$E$5)</f>
        <v/>
      </c>
      <c r="G18" s="81" t="str">
        <f ca="1">_xll.DBRW($D$1,$C$5,$D$5,$C18,G$7,$F$5,$G$5,$E$5)</f>
        <v/>
      </c>
      <c r="H18" s="44" t="str">
        <f ca="1">_xll.DBRW($D$1,$C$5,$D$5,$C18,H$7,$F$5,$G$5,$E$5)</f>
        <v/>
      </c>
    </row>
    <row r="19" spans="2:8" x14ac:dyDescent="0.25">
      <c r="B19" s="83" t="s">
        <v>75</v>
      </c>
      <c r="C19" s="84" t="str">
        <f ca="1">_xll.DBRA("24retail:product",$B19,"Caption_Default")</f>
        <v/>
      </c>
      <c r="D19" s="81" t="str">
        <f ca="1">_xll.DBRW($D$1,$C$5,$D$5,$C19,D$7,$F$5,$G$5,$E$5)</f>
        <v/>
      </c>
      <c r="E19" s="81" t="str">
        <f ca="1">_xll.DBRW($D$1,$C$5,$D$5,$C19,E$7,$F$5,$G$5,$E$5)</f>
        <v/>
      </c>
      <c r="F19" s="81" t="str">
        <f ca="1">_xll.DBRW($D$1,$C$5,$D$5,$C19,F$7,$F$5,$G$5,$E$5)</f>
        <v/>
      </c>
      <c r="G19" s="81" t="str">
        <f ca="1">_xll.DBRW($D$1,$C$5,$D$5,$C19,G$7,$F$5,$G$5,$E$5)</f>
        <v/>
      </c>
      <c r="H19" s="44" t="str">
        <f ca="1">_xll.DBRW($D$1,$C$5,$D$5,$C19,H$7,$F$5,$G$5,$E$5)</f>
        <v/>
      </c>
    </row>
  </sheetData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UnitFcst</vt:lpstr>
      <vt:lpstr>ChannelDetail</vt:lpstr>
      <vt:lpstr>MarginDetail</vt:lpstr>
      <vt:lpstr>ProductAdmin</vt:lpstr>
      <vt:lpstr>Lookup</vt:lpstr>
      <vt:lpstr>Assumptions</vt:lpstr>
      <vt:lpstr>Report</vt:lpstr>
      <vt:lpstr>Method</vt:lpstr>
      <vt:lpstr>ProductAdmin!pChannel</vt:lpstr>
      <vt:lpstr>ProductAdmin!pCurrentProduct</vt:lpstr>
      <vt:lpstr>ProductAdmin!pNewName</vt:lpstr>
      <vt:lpstr>ProductAdmin!pNewNumber</vt:lpstr>
      <vt:lpstr>ProductAdmin!pOrg</vt:lpstr>
      <vt:lpstr>ProductAdmin!pParent</vt:lpstr>
      <vt:lpstr>ProductAdmin!pProductDriver</vt:lpstr>
      <vt:lpstr>ProductGroups</vt:lpstr>
      <vt:lpstr>ProductSubsets</vt:lpstr>
      <vt:lpstr>ProductAdmin!pSpread</vt:lpstr>
      <vt:lpstr>ProductAdmin!pUnitFcst</vt:lpstr>
      <vt:lpstr>ProductAdmin!pVersion</vt:lpstr>
      <vt:lpstr>ProductAdmin!pYear</vt:lpstr>
      <vt:lpstr>SelectYesNo</vt:lpstr>
      <vt:lpstr>Spreads</vt:lpstr>
      <vt:lpstr>UnitFcst!TM1RPTDATARNG1</vt:lpstr>
      <vt:lpstr>UnitFcst!TM1RPTFMTIDCOL</vt:lpstr>
      <vt:lpstr>UnitFcst!TM1RPTFMTRNG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ibmuser</dc:creator>
  <cp:lastModifiedBy>gtejeda</cp:lastModifiedBy>
  <dcterms:created xsi:type="dcterms:W3CDTF">2011-12-01T18:47:49Z</dcterms:created>
  <dcterms:modified xsi:type="dcterms:W3CDTF">2016-10-11T17:53:14Z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hannelDetailancestorsArrayListCount">
    <vt:i4>1</vt:i4>
  </property>
  <property fmtid="{D5CDD505-2E9C-101B-9397-08002B2CF9AE}" pid="3" name="ChannelDetailancestorsArrayList1">
    <vt:lpwstr>[]</vt:lpwstr>
  </property>
  <property fmtid="{D5CDD505-2E9C-101B-9397-08002B2CF9AE}" pid="4" name="ChannelDetailcontextObjectCount">
    <vt:i4>1</vt:i4>
  </property>
  <property fmtid="{D5CDD505-2E9C-101B-9397-08002B2CF9AE}" pid="5" name="ChannelDetailcontextObject1">
    <vt:lpwstr>{}</vt:lpwstr>
  </property>
  <property fmtid="{D5CDD505-2E9C-101B-9397-08002B2CF9AE}" pid="6" name="ChannelDetailcolumnsArrayCount">
    <vt:i4>1</vt:i4>
  </property>
  <property fmtid="{D5CDD505-2E9C-101B-9397-08002B2CF9AE}" pid="7" name="ChannelDetailcolumnsArray1">
    <vt:lpwstr>[]</vt:lpwstr>
  </property>
  <property fmtid="{D5CDD505-2E9C-101B-9397-08002B2CF9AE}" pid="8" name="ChannelDetailmembersObjectCount">
    <vt:i4>1</vt:i4>
  </property>
  <property fmtid="{D5CDD505-2E9C-101B-9397-08002B2CF9AE}" pid="9" name="ChannelDetailmembersObject1">
    <vt:lpwstr>{}</vt:lpwstr>
  </property>
  <property fmtid="{D5CDD505-2E9C-101B-9397-08002B2CF9AE}" pid="10" name="ChannelDetailmembersArrayCount">
    <vt:i4>1</vt:i4>
  </property>
  <property fmtid="{D5CDD505-2E9C-101B-9397-08002B2CF9AE}" pid="11" name="ChannelDetailmembersArray1">
    <vt:lpwstr>[]</vt:lpwstr>
  </property>
  <property fmtid="{D5CDD505-2E9C-101B-9397-08002B2CF9AE}" pid="12" name="ChannelDetailchangeListObjectCount">
    <vt:i4>1</vt:i4>
  </property>
  <property fmtid="{D5CDD505-2E9C-101B-9397-08002B2CF9AE}" pid="13" name="ChannelDetailchangeListObject1">
    <vt:lpwstr>{}</vt:lpwstr>
  </property>
  <property fmtid="{D5CDD505-2E9C-101B-9397-08002B2CF9AE}" pid="14" name="MarginDetailancestorsArrayListCount">
    <vt:i4>1</vt:i4>
  </property>
  <property fmtid="{D5CDD505-2E9C-101B-9397-08002B2CF9AE}" pid="15" name="MarginDetailancestorsArrayList1">
    <vt:lpwstr>[]</vt:lpwstr>
  </property>
  <property fmtid="{D5CDD505-2E9C-101B-9397-08002B2CF9AE}" pid="16" name="MarginDetailcontextObjectCount">
    <vt:i4>1</vt:i4>
  </property>
  <property fmtid="{D5CDD505-2E9C-101B-9397-08002B2CF9AE}" pid="17" name="MarginDetailcontextObject1">
    <vt:lpwstr>{}</vt:lpwstr>
  </property>
  <property fmtid="{D5CDD505-2E9C-101B-9397-08002B2CF9AE}" pid="18" name="MarginDetailcolumnsArrayCount">
    <vt:i4>1</vt:i4>
  </property>
  <property fmtid="{D5CDD505-2E9C-101B-9397-08002B2CF9AE}" pid="19" name="MarginDetailcolumnsArray1">
    <vt:lpwstr>[]</vt:lpwstr>
  </property>
  <property fmtid="{D5CDD505-2E9C-101B-9397-08002B2CF9AE}" pid="20" name="MarginDetailmembersObjectCount">
    <vt:i4>1</vt:i4>
  </property>
  <property fmtid="{D5CDD505-2E9C-101B-9397-08002B2CF9AE}" pid="21" name="MarginDetailmembersObject1">
    <vt:lpwstr>{}</vt:lpwstr>
  </property>
  <property fmtid="{D5CDD505-2E9C-101B-9397-08002B2CF9AE}" pid="22" name="MarginDetailmembersArrayCount">
    <vt:i4>1</vt:i4>
  </property>
  <property fmtid="{D5CDD505-2E9C-101B-9397-08002B2CF9AE}" pid="23" name="MarginDetailmembersArray1">
    <vt:lpwstr>[]</vt:lpwstr>
  </property>
  <property fmtid="{D5CDD505-2E9C-101B-9397-08002B2CF9AE}" pid="24" name="MarginDetailchangeListObjectCount">
    <vt:i4>1</vt:i4>
  </property>
  <property fmtid="{D5CDD505-2E9C-101B-9397-08002B2CF9AE}" pid="25" name="MarginDetailchangeListObject1">
    <vt:lpwstr>{}</vt:lpwstr>
  </property>
  <property fmtid="{D5CDD505-2E9C-101B-9397-08002B2CF9AE}" pid="26" name="ProductAdminancestorsArrayListCount">
    <vt:i4>1</vt:i4>
  </property>
  <property fmtid="{D5CDD505-2E9C-101B-9397-08002B2CF9AE}" pid="27" name="ProductAdminancestorsArrayList1">
    <vt:lpwstr>[]</vt:lpwstr>
  </property>
  <property fmtid="{D5CDD505-2E9C-101B-9397-08002B2CF9AE}" pid="28" name="ProductAdmincontextObjectCount">
    <vt:i4>1</vt:i4>
  </property>
  <property fmtid="{D5CDD505-2E9C-101B-9397-08002B2CF9AE}" pid="29" name="ProductAdmincontextObject1">
    <vt:lpwstr>{}</vt:lpwstr>
  </property>
  <property fmtid="{D5CDD505-2E9C-101B-9397-08002B2CF9AE}" pid="30" name="ProductAdmincolumnsArrayCount">
    <vt:i4>1</vt:i4>
  </property>
  <property fmtid="{D5CDD505-2E9C-101B-9397-08002B2CF9AE}" pid="31" name="ProductAdmincolumnsArray1">
    <vt:lpwstr>[]</vt:lpwstr>
  </property>
  <property fmtid="{D5CDD505-2E9C-101B-9397-08002B2CF9AE}" pid="32" name="ProductAdminmembersObjectCount">
    <vt:i4>1</vt:i4>
  </property>
  <property fmtid="{D5CDD505-2E9C-101B-9397-08002B2CF9AE}" pid="33" name="ProductAdminmembersObject1">
    <vt:lpwstr>{}</vt:lpwstr>
  </property>
  <property fmtid="{D5CDD505-2E9C-101B-9397-08002B2CF9AE}" pid="34" name="ProductAdminmembersArrayCount">
    <vt:i4>1</vt:i4>
  </property>
  <property fmtid="{D5CDD505-2E9C-101B-9397-08002B2CF9AE}" pid="35" name="ProductAdminmembersArray1">
    <vt:lpwstr>[]</vt:lpwstr>
  </property>
  <property fmtid="{D5CDD505-2E9C-101B-9397-08002B2CF9AE}" pid="36" name="ProductAdminchangeListObjectCount">
    <vt:i4>1</vt:i4>
  </property>
  <property fmtid="{D5CDD505-2E9C-101B-9397-08002B2CF9AE}" pid="37" name="ProductAdminchangeListObject1">
    <vt:lpwstr>{}</vt:lpwstr>
  </property>
  <property fmtid="{D5CDD505-2E9C-101B-9397-08002B2CF9AE}" pid="38" name="LookupancestorsArrayListCount">
    <vt:i4>1</vt:i4>
  </property>
  <property fmtid="{D5CDD505-2E9C-101B-9397-08002B2CF9AE}" pid="39" name="LookupancestorsArrayList1">
    <vt:lpwstr>[]</vt:lpwstr>
  </property>
  <property fmtid="{D5CDD505-2E9C-101B-9397-08002B2CF9AE}" pid="40" name="LookupcontextObjectCount">
    <vt:i4>1</vt:i4>
  </property>
  <property fmtid="{D5CDD505-2E9C-101B-9397-08002B2CF9AE}" pid="41" name="LookupcontextObject1">
    <vt:lpwstr>{}</vt:lpwstr>
  </property>
  <property fmtid="{D5CDD505-2E9C-101B-9397-08002B2CF9AE}" pid="42" name="LookupcolumnsArrayCount">
    <vt:i4>1</vt:i4>
  </property>
  <property fmtid="{D5CDD505-2E9C-101B-9397-08002B2CF9AE}" pid="43" name="LookupcolumnsArray1">
    <vt:lpwstr>[]</vt:lpwstr>
  </property>
  <property fmtid="{D5CDD505-2E9C-101B-9397-08002B2CF9AE}" pid="44" name="LookupmembersObjectCount">
    <vt:i4>1</vt:i4>
  </property>
  <property fmtid="{D5CDD505-2E9C-101B-9397-08002B2CF9AE}" pid="45" name="LookupmembersObject1">
    <vt:lpwstr>{}</vt:lpwstr>
  </property>
  <property fmtid="{D5CDD505-2E9C-101B-9397-08002B2CF9AE}" pid="46" name="LookupmembersArrayCount">
    <vt:i4>1</vt:i4>
  </property>
  <property fmtid="{D5CDD505-2E9C-101B-9397-08002B2CF9AE}" pid="47" name="LookupmembersArray1">
    <vt:lpwstr>[]</vt:lpwstr>
  </property>
  <property fmtid="{D5CDD505-2E9C-101B-9397-08002B2CF9AE}" pid="48" name="LookupchangeListObjectCount">
    <vt:i4>1</vt:i4>
  </property>
  <property fmtid="{D5CDD505-2E9C-101B-9397-08002B2CF9AE}" pid="49" name="LookupchangeListObject1">
    <vt:lpwstr>{}</vt:lpwstr>
  </property>
  <property fmtid="{D5CDD505-2E9C-101B-9397-08002B2CF9AE}" pid="50" name="AssumptionsancestorsArrayListCount">
    <vt:i4>1</vt:i4>
  </property>
  <property fmtid="{D5CDD505-2E9C-101B-9397-08002B2CF9AE}" pid="51" name="AssumptionsancestorsArrayList1">
    <vt:lpwstr>[]</vt:lpwstr>
  </property>
  <property fmtid="{D5CDD505-2E9C-101B-9397-08002B2CF9AE}" pid="52" name="AssumptionscontextObjectCount">
    <vt:i4>1</vt:i4>
  </property>
  <property fmtid="{D5CDD505-2E9C-101B-9397-08002B2CF9AE}" pid="53" name="AssumptionscontextObject1">
    <vt:lpwstr>{}</vt:lpwstr>
  </property>
  <property fmtid="{D5CDD505-2E9C-101B-9397-08002B2CF9AE}" pid="54" name="AssumptionscolumnsArrayCount">
    <vt:i4>1</vt:i4>
  </property>
  <property fmtid="{D5CDD505-2E9C-101B-9397-08002B2CF9AE}" pid="55" name="AssumptionscolumnsArray1">
    <vt:lpwstr>[]</vt:lpwstr>
  </property>
  <property fmtid="{D5CDD505-2E9C-101B-9397-08002B2CF9AE}" pid="56" name="AssumptionsmembersObjectCount">
    <vt:i4>1</vt:i4>
  </property>
  <property fmtid="{D5CDD505-2E9C-101B-9397-08002B2CF9AE}" pid="57" name="AssumptionsmembersObject1">
    <vt:lpwstr>{}</vt:lpwstr>
  </property>
  <property fmtid="{D5CDD505-2E9C-101B-9397-08002B2CF9AE}" pid="58" name="AssumptionsmembersArrayCount">
    <vt:i4>1</vt:i4>
  </property>
  <property fmtid="{D5CDD505-2E9C-101B-9397-08002B2CF9AE}" pid="59" name="AssumptionsmembersArray1">
    <vt:lpwstr>[]</vt:lpwstr>
  </property>
  <property fmtid="{D5CDD505-2E9C-101B-9397-08002B2CF9AE}" pid="60" name="AssumptionschangeListObjectCount">
    <vt:i4>1</vt:i4>
  </property>
  <property fmtid="{D5CDD505-2E9C-101B-9397-08002B2CF9AE}" pid="61" name="AssumptionschangeListObject1">
    <vt:lpwstr>{}</vt:lpwstr>
  </property>
  <property fmtid="{D5CDD505-2E9C-101B-9397-08002B2CF9AE}" pid="62" name="ReportancestorsArrayListCount">
    <vt:i4>1</vt:i4>
  </property>
  <property fmtid="{D5CDD505-2E9C-101B-9397-08002B2CF9AE}" pid="63" name="ReportancestorsArrayList1">
    <vt:lpwstr>[]</vt:lpwstr>
  </property>
  <property fmtid="{D5CDD505-2E9C-101B-9397-08002B2CF9AE}" pid="64" name="ReportcontextObjectCount">
    <vt:i4>1</vt:i4>
  </property>
  <property fmtid="{D5CDD505-2E9C-101B-9397-08002B2CF9AE}" pid="65" name="ReportcontextObject1">
    <vt:lpwstr>{}</vt:lpwstr>
  </property>
  <property fmtid="{D5CDD505-2E9C-101B-9397-08002B2CF9AE}" pid="66" name="ReportcolumnsArrayCount">
    <vt:i4>1</vt:i4>
  </property>
  <property fmtid="{D5CDD505-2E9C-101B-9397-08002B2CF9AE}" pid="67" name="ReportcolumnsArray1">
    <vt:lpwstr>[]</vt:lpwstr>
  </property>
  <property fmtid="{D5CDD505-2E9C-101B-9397-08002B2CF9AE}" pid="68" name="ReportmembersObjectCount">
    <vt:i4>1</vt:i4>
  </property>
  <property fmtid="{D5CDD505-2E9C-101B-9397-08002B2CF9AE}" pid="69" name="ReportmembersObject1">
    <vt:lpwstr>{}</vt:lpwstr>
  </property>
  <property fmtid="{D5CDD505-2E9C-101B-9397-08002B2CF9AE}" pid="70" name="ReportmembersArrayCount">
    <vt:i4>1</vt:i4>
  </property>
  <property fmtid="{D5CDD505-2E9C-101B-9397-08002B2CF9AE}" pid="71" name="ReportmembersArray1">
    <vt:lpwstr>[]</vt:lpwstr>
  </property>
  <property fmtid="{D5CDD505-2E9C-101B-9397-08002B2CF9AE}" pid="72" name="ReportchangeListObjectCount">
    <vt:i4>1</vt:i4>
  </property>
  <property fmtid="{D5CDD505-2E9C-101B-9397-08002B2CF9AE}" pid="73" name="ReportchangeListObject1">
    <vt:lpwstr>{}</vt:lpwstr>
  </property>
  <property fmtid="{D5CDD505-2E9C-101B-9397-08002B2CF9AE}" pid="74" name="UnitFcstancestorsArrayListCount">
    <vt:i4>1</vt:i4>
  </property>
  <property fmtid="{D5CDD505-2E9C-101B-9397-08002B2CF9AE}" pid="75" name="UnitFcstancestorsArrayList1">
    <vt:lpwstr>[]</vt:lpwstr>
  </property>
  <property fmtid="{D5CDD505-2E9C-101B-9397-08002B2CF9AE}" pid="76" name="UnitFcstcontextObjectCount">
    <vt:i4>1</vt:i4>
  </property>
  <property fmtid="{D5CDD505-2E9C-101B-9397-08002B2CF9AE}" pid="77" name="UnitFcstcontextObject1">
    <vt:lpwstr>{}</vt:lpwstr>
  </property>
  <property fmtid="{D5CDD505-2E9C-101B-9397-08002B2CF9AE}" pid="78" name="UnitFcstcolumnsArrayCount">
    <vt:i4>1</vt:i4>
  </property>
  <property fmtid="{D5CDD505-2E9C-101B-9397-08002B2CF9AE}" pid="79" name="UnitFcstcolumnsArray1">
    <vt:lpwstr>[]</vt:lpwstr>
  </property>
  <property fmtid="{D5CDD505-2E9C-101B-9397-08002B2CF9AE}" pid="80" name="UnitFcstmembersObjectCount">
    <vt:i4>1</vt:i4>
  </property>
  <property fmtid="{D5CDD505-2E9C-101B-9397-08002B2CF9AE}" pid="81" name="UnitFcstmembersObject1">
    <vt:lpwstr>{}</vt:lpwstr>
  </property>
  <property fmtid="{D5CDD505-2E9C-101B-9397-08002B2CF9AE}" pid="82" name="UnitFcstmembersArrayCount">
    <vt:i4>1</vt:i4>
  </property>
  <property fmtid="{D5CDD505-2E9C-101B-9397-08002B2CF9AE}" pid="83" name="UnitFcstmembersArray1">
    <vt:lpwstr>[]</vt:lpwstr>
  </property>
  <property fmtid="{D5CDD505-2E9C-101B-9397-08002B2CF9AE}" pid="84" name="UnitFcstchangeListObjectCount">
    <vt:i4>1</vt:i4>
  </property>
  <property fmtid="{D5CDD505-2E9C-101B-9397-08002B2CF9AE}" pid="85" name="UnitFcstchangeListObject1">
    <vt:lpwstr>{}</vt:lpwstr>
  </property>
</Properties>
</file>